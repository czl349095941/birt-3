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ЭтаКнига"/>
  <bookViews>
    <workbookView xWindow="120" yWindow="75" windowWidth="15135" windowHeight="8535" tabRatio="663"/>
  </bookViews>
  <sheets>
    <sheet name="LIST1" sheetId="1" r:id="rId1"/>
    <sheet name="Itemdata_1.1" sheetId="2" r:id="rId2"/>
    <sheet name="Itemdata_1.2" sheetId="8" r:id="rId3"/>
    <sheet name="Itemdata_2.1" sheetId="4" r:id="rId4"/>
    <sheet name="Itemdata_2.2" sheetId="5" r:id="rId5"/>
    <sheet name="Itemdata_2.3" sheetId="9" r:id="rId6"/>
    <sheet name="Itemdata_3.1" sheetId="7" r:id="rId7"/>
    <sheet name="Соответствие" sheetId="6" r:id="rId8"/>
  </sheets>
  <calcPr calcId="125725"/>
</workbook>
</file>

<file path=xl/calcChain.xml><?xml version="1.0" encoding="utf-8"?>
<calcChain xmlns="http://schemas.openxmlformats.org/spreadsheetml/2006/main">
  <c r="AK61" i="1"/>
  <c r="AK60"/>
  <c r="ET70"/>
  <c r="ET71"/>
  <c r="ET72"/>
  <c r="ET73"/>
  <c r="ET74"/>
  <c r="ET75"/>
  <c r="ET76"/>
  <c r="ET77"/>
  <c r="ET78"/>
  <c r="ET79"/>
  <c r="ET80"/>
  <c r="EG70"/>
  <c r="EG71"/>
  <c r="EG72"/>
  <c r="EG73"/>
  <c r="EG74"/>
  <c r="EG75"/>
  <c r="EG76"/>
  <c r="EG77"/>
  <c r="EG78"/>
  <c r="EG79"/>
  <c r="EG80"/>
  <c r="DS70"/>
  <c r="DS71"/>
  <c r="DS72"/>
  <c r="DS73"/>
  <c r="DS74"/>
  <c r="DS75"/>
  <c r="DS76"/>
  <c r="DS77"/>
  <c r="DS78"/>
  <c r="DS79"/>
  <c r="DS80"/>
  <c r="CX70"/>
  <c r="CX71"/>
  <c r="CX72"/>
  <c r="CX73"/>
  <c r="CX74"/>
  <c r="CX75"/>
  <c r="CX76"/>
  <c r="CX77"/>
  <c r="CX78"/>
  <c r="CX79"/>
  <c r="CX80"/>
  <c r="BT70"/>
  <c r="BT71"/>
  <c r="BT72"/>
  <c r="BT73"/>
  <c r="BT74"/>
  <c r="BT75"/>
  <c r="BT76"/>
  <c r="BT77"/>
  <c r="BT78"/>
  <c r="BT79"/>
  <c r="BT80"/>
  <c r="BG70"/>
  <c r="BG71"/>
  <c r="BG72"/>
  <c r="BG73"/>
  <c r="BG74"/>
  <c r="BG75"/>
  <c r="BG76"/>
  <c r="BG77"/>
  <c r="BG78"/>
  <c r="BG79"/>
  <c r="BG80"/>
  <c r="A71"/>
  <c r="A72"/>
  <c r="A73"/>
  <c r="A74"/>
  <c r="A75"/>
  <c r="A76"/>
  <c r="A77"/>
  <c r="A78"/>
  <c r="A79"/>
  <c r="A80"/>
  <c r="A70"/>
  <c r="EP38"/>
  <c r="EC8"/>
  <c r="Y12"/>
  <c r="EP26"/>
  <c r="EP18"/>
  <c r="B4" i="2"/>
  <c r="B6" s="1"/>
  <c r="BM124" i="1"/>
  <c r="EB121"/>
  <c r="CI121"/>
  <c r="AX121"/>
  <c r="B121"/>
  <c r="AS139"/>
  <c r="A26"/>
  <c r="A22"/>
  <c r="EP19"/>
  <c r="EP12"/>
  <c r="A44"/>
  <c r="BA43"/>
  <c r="AS6"/>
  <c r="A6"/>
  <c r="CP61"/>
  <c r="ED61"/>
  <c r="ED60"/>
  <c r="AY61"/>
  <c r="AY60"/>
  <c r="BI93"/>
  <c r="AL93"/>
  <c r="AF93"/>
  <c r="CD107"/>
  <c r="CD105"/>
  <c r="CD103"/>
  <c r="AC107"/>
  <c r="AC105"/>
  <c r="AC103"/>
  <c r="EP30"/>
  <c r="EP28"/>
  <c r="EP27"/>
  <c r="A24"/>
  <c r="EP35"/>
  <c r="V20"/>
  <c r="DH8"/>
  <c r="CM124"/>
  <c r="CM135"/>
  <c r="CD115"/>
  <c r="CD113"/>
  <c r="CD111"/>
  <c r="CD109"/>
  <c r="AC115"/>
  <c r="AC113"/>
  <c r="AC111"/>
  <c r="AC109"/>
  <c r="CO128"/>
  <c r="EQ126"/>
  <c r="EF126"/>
  <c r="DE126"/>
  <c r="CX126"/>
  <c r="EX61"/>
  <c r="EX60"/>
  <c r="EN61"/>
  <c r="EN60"/>
  <c r="DN61"/>
  <c r="DN60"/>
  <c r="A101"/>
  <c r="W100"/>
  <c r="CC61"/>
  <c r="BO61"/>
  <c r="EF138"/>
  <c r="DL135"/>
  <c r="CF135"/>
  <c r="DL124"/>
  <c r="CF124"/>
  <c r="AN102"/>
  <c r="ES138"/>
  <c r="CD99"/>
  <c r="CD98"/>
  <c r="CD96"/>
  <c r="A99"/>
  <c r="A98"/>
  <c r="A96"/>
  <c r="CP60"/>
  <c r="CC60"/>
  <c r="BO60"/>
  <c r="W60"/>
  <c r="K60"/>
  <c r="A60"/>
  <c r="EP31"/>
  <c r="CE35"/>
  <c r="DA8"/>
  <c r="A18"/>
  <c r="DV139"/>
  <c r="EQ135"/>
  <c r="CD132"/>
  <c r="EA132"/>
  <c r="CX68"/>
  <c r="A16"/>
  <c r="A14"/>
  <c r="ED6"/>
  <c r="CN6"/>
  <c r="A83"/>
  <c r="A88"/>
  <c r="A89"/>
  <c r="A84"/>
  <c r="A85"/>
  <c r="A86"/>
  <c r="A87"/>
  <c r="A42"/>
  <c r="AA45"/>
  <c r="BT69"/>
  <c r="ET69"/>
  <c r="ET68"/>
  <c r="ET67"/>
  <c r="EG69"/>
  <c r="EG68"/>
  <c r="EG67"/>
  <c r="DS69"/>
  <c r="DS68"/>
  <c r="DS67"/>
  <c r="CX69"/>
  <c r="CX67"/>
  <c r="BT68"/>
  <c r="BT67"/>
  <c r="BG69"/>
  <c r="BG68"/>
  <c r="BG67"/>
  <c r="A69"/>
  <c r="A68"/>
  <c r="A67"/>
  <c r="BL35"/>
  <c r="EP37"/>
  <c r="EP36"/>
  <c r="EP34"/>
  <c r="EP29"/>
  <c r="EP32"/>
  <c r="EP33"/>
  <c r="Z40"/>
  <c r="AF28"/>
</calcChain>
</file>

<file path=xl/comments1.xml><?xml version="1.0" encoding="utf-8"?>
<comments xmlns="http://schemas.openxmlformats.org/spreadsheetml/2006/main">
  <authors>
    <author>Олег Бондарь</author>
  </authors>
  <commentList>
    <comment ref="A22" authorId="0">
      <text>
        <r>
          <rPr>
            <b/>
            <sz val="8"/>
            <color indexed="10"/>
            <rFont val="Tahoma"/>
            <family val="2"/>
            <charset val="204"/>
          </rPr>
          <t>Внимание!</t>
        </r>
        <r>
          <rPr>
            <b/>
            <sz val="8"/>
            <color indexed="81"/>
            <rFont val="Tahoma"/>
            <family val="2"/>
            <charset val="204"/>
          </rPr>
          <t xml:space="preserve">
</t>
        </r>
        <r>
          <rPr>
            <b/>
            <sz val="8"/>
            <color indexed="48"/>
            <rFont val="Tahoma"/>
            <family val="2"/>
            <charset val="204"/>
          </rPr>
          <t>Данная страница предназначена лишь для ведения настроек!
Ее нельзя форматировать! 
Страница поддерживает данные заголовка Инвентарной Карточки.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Олег Бондарь</author>
  </authors>
  <commentList>
    <comment ref="A23" authorId="0">
      <text>
        <r>
          <rPr>
            <b/>
            <sz val="8"/>
            <color indexed="10"/>
            <rFont val="Tahoma"/>
            <family val="2"/>
            <charset val="204"/>
          </rPr>
          <t>Внимание!</t>
        </r>
        <r>
          <rPr>
            <b/>
            <sz val="8"/>
            <color indexed="81"/>
            <rFont val="Tahoma"/>
            <family val="2"/>
            <charset val="204"/>
          </rPr>
          <t xml:space="preserve">
</t>
        </r>
        <r>
          <rPr>
            <b/>
            <sz val="8"/>
            <color indexed="48"/>
            <rFont val="Tahoma"/>
            <family val="2"/>
            <charset val="204"/>
          </rPr>
          <t>Данная страница предназначена лишь для ведения настроек!
Ее нельзя форматировать! 
Страница поддерживает данные заголовка Инвентарной Карточки.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<sst xmlns="http://schemas.openxmlformats.org/spreadsheetml/2006/main" count="4449" uniqueCount="413">
  <si>
    <t>УТВЕРЖДАЮ</t>
  </si>
  <si>
    <t>Руководитель организации-сдатчика</t>
  </si>
  <si>
    <t>(должность)</t>
  </si>
  <si>
    <t>(подпись)</t>
  </si>
  <si>
    <t>(расшифровка подписи)</t>
  </si>
  <si>
    <t>"</t>
  </si>
  <si>
    <t xml:space="preserve"> г.</t>
  </si>
  <si>
    <t>М.П.</t>
  </si>
  <si>
    <t>Код</t>
  </si>
  <si>
    <t>по ОКУД</t>
  </si>
  <si>
    <t>по ОКПО</t>
  </si>
  <si>
    <t>Форма</t>
  </si>
  <si>
    <t>Организация-получатель</t>
  </si>
  <si>
    <t>(наименование)</t>
  </si>
  <si>
    <t>(адрес, телефон, факс)</t>
  </si>
  <si>
    <t>(банковские реквизиты)</t>
  </si>
  <si>
    <t>(наименование структурного подразделения)</t>
  </si>
  <si>
    <t>Организация-сдатчик</t>
  </si>
  <si>
    <t>Основание для составления акта</t>
  </si>
  <si>
    <t xml:space="preserve">номер </t>
  </si>
  <si>
    <t xml:space="preserve">дата </t>
  </si>
  <si>
    <t xml:space="preserve">принятия к бухгалтерскому учету </t>
  </si>
  <si>
    <t xml:space="preserve">списания с бухгалтерского учета </t>
  </si>
  <si>
    <t>Дата</t>
  </si>
  <si>
    <t>Счет, субсчет, код аналитического учета</t>
  </si>
  <si>
    <t>по ОКОФ</t>
  </si>
  <si>
    <t>Номер документа</t>
  </si>
  <si>
    <t>АКТ</t>
  </si>
  <si>
    <t xml:space="preserve">амортизационной группы </t>
  </si>
  <si>
    <t xml:space="preserve">инвентарный </t>
  </si>
  <si>
    <t>Номер</t>
  </si>
  <si>
    <t>Место нахождения объекта в момент приема-передачи</t>
  </si>
  <si>
    <t>Доля в праве общей собственности, %</t>
  </si>
  <si>
    <t xml:space="preserve">Справочно: </t>
  </si>
  <si>
    <t>1. Участники долевой собственности</t>
  </si>
  <si>
    <t>2. Иностранная валюта *</t>
  </si>
  <si>
    <t>(курс)</t>
  </si>
  <si>
    <t>(на дату)</t>
  </si>
  <si>
    <t>(сумма)</t>
  </si>
  <si>
    <t xml:space="preserve">Государственная </t>
  </si>
  <si>
    <t>Фактический срок эксплуатации (лет, месяцев)</t>
  </si>
  <si>
    <t>Остаточная стоимость,
руб.</t>
  </si>
  <si>
    <t>Стоимость приобретения (договорная стоимость),
руб.</t>
  </si>
  <si>
    <t>Срок полезного использования</t>
  </si>
  <si>
    <t>наименование</t>
  </si>
  <si>
    <t>Способ начисления амортизации</t>
  </si>
  <si>
    <t>последнего капитального ремонта</t>
  </si>
  <si>
    <t>единица измерения</t>
  </si>
  <si>
    <t>количество</t>
  </si>
  <si>
    <t>масса</t>
  </si>
  <si>
    <t>Заключение комиссии:</t>
  </si>
  <si>
    <t>Приложение. Техническая документация</t>
  </si>
  <si>
    <t>Председатель комиссии</t>
  </si>
  <si>
    <t>Члены комиссии:</t>
  </si>
  <si>
    <t>Объект основных средств</t>
  </si>
  <si>
    <t>Сдал</t>
  </si>
  <si>
    <t>Принял</t>
  </si>
  <si>
    <t>Табельный номер</t>
  </si>
  <si>
    <t>№</t>
  </si>
  <si>
    <t>,</t>
  </si>
  <si>
    <t>выданной</t>
  </si>
  <si>
    <t>Дата составления</t>
  </si>
  <si>
    <t>Отметка бухгалтерии об открытии инвентарной карточки учета объекта основных средств или записи в инвентарной книге</t>
  </si>
  <si>
    <t>Отметка бухгалтерии:
В инвентарной карточке (книге) учета объекта основных средств выбытие отмечено</t>
  </si>
  <si>
    <t>Главный бухгалтер</t>
  </si>
  <si>
    <t>Объект основных средств принял на ответственное хранение</t>
  </si>
  <si>
    <t>* Заполняется в случае, когда стоимость объекта основных средств при приобретении была выражена в иностранной валюте.</t>
  </si>
  <si>
    <t xml:space="preserve">заводской </t>
  </si>
  <si>
    <t>о приеме-передаче объекта основных средств
(кроме зданий, сооружений)</t>
  </si>
  <si>
    <t>Организация-изготовитель</t>
  </si>
  <si>
    <t>выпуска
(год)</t>
  </si>
  <si>
    <t>ввода в эксплуа-тацию (первона-чальная)</t>
  </si>
  <si>
    <t>3. Краткая индивидуальная характеристика объекта основных средств</t>
  </si>
  <si>
    <t>Содержание драгоценных материалов (металлов, камней и т.д.)</t>
  </si>
  <si>
    <t>наименование драгоценных материалов</t>
  </si>
  <si>
    <t>Объект основных средств, приспособления, принадлежности</t>
  </si>
  <si>
    <t>номенклатурный
номер</t>
  </si>
  <si>
    <t>Другие характеристики</t>
  </si>
  <si>
    <t>Результат испытания на "</t>
  </si>
  <si>
    <t xml:space="preserve">Комиссия по приему-передаче </t>
  </si>
  <si>
    <t>Объект основных средств техническим условиям</t>
  </si>
  <si>
    <t>Доработка</t>
  </si>
  <si>
    <t>(указать, что не соответствует)</t>
  </si>
  <si>
    <t>(указать, что требуется)</t>
  </si>
  <si>
    <t>Руководитель организации-получателя</t>
  </si>
  <si>
    <t>(приказ, распоряжение, договор (с указанием его вида, основных обязательств))</t>
  </si>
  <si>
    <t>(наименование, назначение, модель, марка)</t>
  </si>
  <si>
    <t>Сумма начисленной амортизации (износа),
руб.</t>
  </si>
  <si>
    <t>(кем, кому (фамилия, имя, отчество))</t>
  </si>
  <si>
    <t>Унифицированная форма № ОС-1</t>
  </si>
  <si>
    <t>2-я страница формы № ОС-1</t>
  </si>
  <si>
    <t>3-я страница формы № ОС-1</t>
  </si>
  <si>
    <t>Расшифровка подписи</t>
  </si>
  <si>
    <t>Наименование структурного подразделения</t>
  </si>
  <si>
    <t>Организация-получатель
(Наименование )</t>
  </si>
  <si>
    <t>Код по ОКУД</t>
  </si>
  <si>
    <t>Код по ОКПО</t>
  </si>
  <si>
    <t>Адрес</t>
  </si>
  <si>
    <t>Телефон</t>
  </si>
  <si>
    <t>Факс</t>
  </si>
  <si>
    <t>Банковские реквизиты</t>
  </si>
  <si>
    <t>Организация-сдатчик
(Наименование )</t>
  </si>
  <si>
    <t>Дата принятия к бухгалтерскому учету</t>
  </si>
  <si>
    <t>Дата списания с бухгалтерского учета</t>
  </si>
  <si>
    <t>Номер амортизационной группы</t>
  </si>
  <si>
    <t>Инвентарный номер</t>
  </si>
  <si>
    <t>Заводской номер</t>
  </si>
  <si>
    <t>Номер Гос. рег. прав на недвижимость</t>
  </si>
  <si>
    <t>Дата регистрации прав на недвижимость</t>
  </si>
  <si>
    <t>Объект ОС</t>
  </si>
  <si>
    <t>Место нахождения ОС</t>
  </si>
  <si>
    <t>Организация- изготовитель</t>
  </si>
  <si>
    <t>Дата 
выпуска</t>
  </si>
  <si>
    <t>Дата 
последнего
кап. ремонта</t>
  </si>
  <si>
    <t>Сумма начисленной амортизации (износа),</t>
  </si>
  <si>
    <t>Остаточная стоимость,</t>
  </si>
  <si>
    <t>Стоимость приобретения (договорная стоимость)</t>
  </si>
  <si>
    <t>Первоначальная стоимость на дату принятия к бухгалтерскому учету</t>
  </si>
  <si>
    <t>Наименование способа нач. ам-ции</t>
  </si>
  <si>
    <t>Сведения о состоянии объекта ОС на дату передачи</t>
  </si>
  <si>
    <t>Краткая индивидуальная характеристика объекта ОС</t>
  </si>
  <si>
    <t>Наименование ОС</t>
  </si>
  <si>
    <t>Количество</t>
  </si>
  <si>
    <t>Наименование драг. металлов</t>
  </si>
  <si>
    <t>Номенклатурный номер</t>
  </si>
  <si>
    <t>Единица измерения</t>
  </si>
  <si>
    <t>Масса</t>
  </si>
  <si>
    <t>LIST1</t>
  </si>
  <si>
    <t>Itemdata_1.1</t>
  </si>
  <si>
    <t>Itemdata_2.1</t>
  </si>
  <si>
    <t>Itemdata_2.2</t>
  </si>
  <si>
    <t>A6</t>
  </si>
  <si>
    <t>B2</t>
  </si>
  <si>
    <t>AS6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</si>
  <si>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</si>
  <si>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</si>
  <si>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</si>
  <si>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</si>
  <si>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</si>
  <si>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</si>
  <si>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</si>
  <si>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</si>
  <si>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</si>
  <si>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</si>
  <si>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</si>
  <si>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</si>
  <si>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</si>
  <si>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</si>
  <si>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</si>
  <si>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</si>
  <si>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</si>
  <si>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</si>
  <si>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I8, P8, AM8</t>
  </si>
  <si>
    <t>CS6</t>
  </si>
  <si>
    <t>EK6</t>
  </si>
  <si>
    <t>DA8, DH8, EE8</t>
  </si>
  <si>
    <t>Y12</t>
  </si>
  <si>
    <t>EP11</t>
  </si>
  <si>
    <t>EP12</t>
  </si>
  <si>
    <t>A14</t>
  </si>
  <si>
    <t>A16</t>
  </si>
  <si>
    <t>A18</t>
  </si>
  <si>
    <t>V20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</si>
  <si>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</si>
  <si>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</si>
  <si>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</si>
  <si>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</si>
  <si>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</si>
  <si>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</si>
  <si>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</si>
  <si>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</si>
  <si>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</si>
  <si>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</si>
  <si>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</si>
  <si>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</si>
  <si>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</si>
  <si>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</si>
  <si>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</si>
  <si>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</si>
  <si>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EP19</t>
  </si>
  <si>
    <t>AF28</t>
  </si>
  <si>
    <t>EP27</t>
  </si>
  <si>
    <t>EP29</t>
  </si>
  <si>
    <t>EP31</t>
  </si>
  <si>
    <t>EP32</t>
  </si>
  <si>
    <t>EP33</t>
  </si>
  <si>
    <t>EP34</t>
  </si>
  <si>
    <t>EP35</t>
  </si>
  <si>
    <t>EP36</t>
  </si>
  <si>
    <t>EP37</t>
  </si>
  <si>
    <t>EP38</t>
  </si>
  <si>
    <t>EP39</t>
  </si>
  <si>
    <t xml:space="preserve">Номер Документа </t>
  </si>
  <si>
    <t>BL35</t>
  </si>
  <si>
    <t>Z40</t>
  </si>
  <si>
    <t>BA43</t>
  </si>
  <si>
    <t>AA45</t>
  </si>
  <si>
    <t>B37</t>
  </si>
  <si>
    <t>B38</t>
  </si>
  <si>
    <t>B39</t>
  </si>
  <si>
    <t>Что требуется</t>
  </si>
  <si>
    <t>Заключение комиссии</t>
  </si>
  <si>
    <t>Техническая документация</t>
  </si>
  <si>
    <t>Члены комиссии</t>
  </si>
  <si>
    <t xml:space="preserve">Расшифровка подписи </t>
  </si>
  <si>
    <t>Сдал_ Должность</t>
  </si>
  <si>
    <t>Принял_Должность</t>
  </si>
  <si>
    <t xml:space="preserve">Табельный номер </t>
  </si>
  <si>
    <t>Дата_День</t>
  </si>
  <si>
    <t>Дата_Месяц</t>
  </si>
  <si>
    <t>Дата_Год</t>
  </si>
  <si>
    <t>Доверенность_Дата_День</t>
  </si>
  <si>
    <t>Доверенность_Дата_Месяц</t>
  </si>
  <si>
    <t xml:space="preserve">Доверенность_Дата_Год </t>
  </si>
  <si>
    <t>Доверенность_Номер</t>
  </si>
  <si>
    <t>Принял на хранение_Должность</t>
  </si>
  <si>
    <t>Ппринял на хранение_Расшифровка подписи</t>
  </si>
  <si>
    <t>Доверенность Выдана</t>
  </si>
  <si>
    <t>Гл.бух_Расшифровка подписи</t>
  </si>
  <si>
    <t>B4,B5,B6</t>
  </si>
  <si>
    <t>B9,B10,B11</t>
  </si>
  <si>
    <t>B40</t>
  </si>
  <si>
    <t>B41</t>
  </si>
  <si>
    <t>B42</t>
  </si>
  <si>
    <t>B43</t>
  </si>
  <si>
    <t>Itemdata_3.1</t>
  </si>
  <si>
    <t>Что не соответствует</t>
  </si>
  <si>
    <t>AF83</t>
  </si>
  <si>
    <t>AL83</t>
  </si>
  <si>
    <t>BK83</t>
  </si>
  <si>
    <t>A86</t>
  </si>
  <si>
    <t>CD86</t>
  </si>
  <si>
    <t>W90</t>
  </si>
  <si>
    <t>Дата результата испытания_День</t>
  </si>
  <si>
    <t>Дата результата испытания_Месяц</t>
  </si>
  <si>
    <t>Дата результата испытания_Год</t>
  </si>
  <si>
    <t>AN92</t>
  </si>
  <si>
    <t>AC93</t>
  </si>
  <si>
    <t>CD93</t>
  </si>
  <si>
    <t>AC95</t>
  </si>
  <si>
    <t>CD95</t>
  </si>
  <si>
    <t>AC97</t>
  </si>
  <si>
    <t>CD97</t>
  </si>
  <si>
    <t>K103</t>
  </si>
  <si>
    <t>BD103</t>
  </si>
  <si>
    <t>C106</t>
  </si>
  <si>
    <t>J106</t>
  </si>
  <si>
    <t>AK106</t>
  </si>
  <si>
    <t>BM106</t>
  </si>
  <si>
    <t>AS121</t>
  </si>
  <si>
    <t>CO103</t>
  </si>
  <si>
    <t>EH103</t>
  </si>
  <si>
    <t>CF106</t>
  </si>
  <si>
    <t>CM106</t>
  </si>
  <si>
    <t>DN106</t>
  </si>
  <si>
    <t>CX108</t>
  </si>
  <si>
    <t>DE108</t>
  </si>
  <si>
    <t>EF108</t>
  </si>
  <si>
    <t>EQ108</t>
  </si>
  <si>
    <t>CO110</t>
  </si>
  <si>
    <t>CD114</t>
  </si>
  <si>
    <t>EG114</t>
  </si>
  <si>
    <t>CF117</t>
  </si>
  <si>
    <t>CM117</t>
  </si>
  <si>
    <t>DN117</t>
  </si>
  <si>
    <t>EQ117</t>
  </si>
  <si>
    <t>EF120</t>
  </si>
  <si>
    <t>ES120</t>
  </si>
  <si>
    <t>DV121</t>
  </si>
  <si>
    <t xml:space="preserve"> </t>
  </si>
  <si>
    <t>A22</t>
  </si>
  <si>
    <t>A24</t>
  </si>
  <si>
    <t>A26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</si>
  <si>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</si>
  <si>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</si>
  <si>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</si>
  <si>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</si>
  <si>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</si>
  <si>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</si>
  <si>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</si>
  <si>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</si>
  <si>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</si>
  <si>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</si>
  <si>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A3</t>
  </si>
  <si>
    <t>Дата ввода в эксплуатацию</t>
  </si>
  <si>
    <t>-</t>
  </si>
  <si>
    <t>Наим. констр.эл</t>
  </si>
  <si>
    <t>Основной объект</t>
  </si>
  <si>
    <t>Присп.Принадл. и т.д.</t>
  </si>
  <si>
    <t xml:space="preserve">Примечание </t>
  </si>
  <si>
    <t>CE35</t>
  </si>
  <si>
    <t>A42</t>
  </si>
  <si>
    <t>B44</t>
  </si>
  <si>
    <t>Модель тип марка</t>
  </si>
  <si>
    <t>AK60</t>
  </si>
  <si>
    <t>AY60</t>
  </si>
  <si>
    <t>BO60</t>
  </si>
  <si>
    <t>CC60</t>
  </si>
  <si>
    <t>CP60</t>
  </si>
  <si>
    <t>DD60</t>
  </si>
  <si>
    <t>DT60</t>
  </si>
  <si>
    <t>EI60</t>
  </si>
  <si>
    <t>EX60</t>
  </si>
  <si>
    <t>A60</t>
  </si>
  <si>
    <t>K60</t>
  </si>
  <si>
    <t>W60</t>
  </si>
  <si>
    <t>Фактический срок эксплуатации 1</t>
  </si>
  <si>
    <t>Фактический срок эксплуатации 2</t>
  </si>
  <si>
    <t>Фактический срок эксплуатации 3</t>
  </si>
  <si>
    <t>Фактический срок эксплуатации 4</t>
  </si>
  <si>
    <t>M3</t>
  </si>
  <si>
    <t>N3</t>
  </si>
  <si>
    <t>O3</t>
  </si>
  <si>
    <t>A67</t>
  </si>
  <si>
    <t>BG67</t>
  </si>
  <si>
    <t>BT67</t>
  </si>
  <si>
    <t>CX67</t>
  </si>
  <si>
    <t>DS67</t>
  </si>
  <si>
    <t>EG67</t>
  </si>
  <si>
    <t>ET67</t>
  </si>
  <si>
    <t>Срок полезного использования 1</t>
  </si>
  <si>
    <t>Срок полезного использования 2</t>
  </si>
  <si>
    <t>Срок полезного использования 3</t>
  </si>
  <si>
    <t>Срок полезного использования 4</t>
  </si>
  <si>
    <t>P3</t>
  </si>
  <si>
    <t>Q3</t>
  </si>
  <si>
    <t>R3</t>
  </si>
  <si>
    <t xml:space="preserve">  </t>
  </si>
  <si>
    <t xml:space="preserve">   </t>
  </si>
  <si>
    <t>линейный</t>
  </si>
  <si>
    <t>Наименование филиала</t>
  </si>
  <si>
    <t>Наименование предприятия</t>
  </si>
  <si>
    <t>ОАО "РЖД"</t>
  </si>
  <si>
    <t>Данные от сдатчика!</t>
  </si>
  <si>
    <t>НачалСтроит-ва</t>
  </si>
  <si>
    <t>ОкончСтроит-ва</t>
  </si>
  <si>
    <t>ПоследРекМодерн</t>
  </si>
  <si>
    <t>ГодВыпуска</t>
  </si>
  <si>
    <t>ДатаВводаВЭкспл</t>
  </si>
  <si>
    <t>ПоследКапРем</t>
  </si>
  <si>
    <t>СуммаНачислАморт</t>
  </si>
  <si>
    <t>ОстСтоим</t>
  </si>
  <si>
    <t>ФактСрок (год)</t>
  </si>
  <si>
    <t>ФакСрок (мес)</t>
  </si>
  <si>
    <t>СПИ (год)</t>
  </si>
  <si>
    <t>СПИ (мес)</t>
  </si>
  <si>
    <t>Приложение</t>
  </si>
  <si>
    <t>Дата Испыт</t>
  </si>
  <si>
    <t>Соответствует</t>
  </si>
  <si>
    <t>Не соответствует</t>
  </si>
  <si>
    <t>Требуется</t>
  </si>
  <si>
    <t>Не требуется</t>
  </si>
  <si>
    <t>Текст 
"Не соответствует"</t>
  </si>
  <si>
    <t>Текст
"Не соответствует"</t>
  </si>
  <si>
    <t>Текст
"Требуется"</t>
  </si>
  <si>
    <t>Заключение комиссии_1</t>
  </si>
  <si>
    <t>Заключение комиссии_2</t>
  </si>
  <si>
    <t>Заключение комиссии_3</t>
  </si>
  <si>
    <t>Заключение комиссии_4</t>
  </si>
  <si>
    <t>Заключение комиссии_5</t>
  </si>
  <si>
    <t>Заключение комиссии_6</t>
  </si>
  <si>
    <t xml:space="preserve"> -</t>
  </si>
  <si>
    <t>Норма</t>
  </si>
  <si>
    <t>норма
%</t>
  </si>
  <si>
    <t>Члены комиссии_3</t>
  </si>
  <si>
    <t>Расшифровка подписи_3</t>
  </si>
  <si>
    <t>Члены комиссии_4</t>
  </si>
  <si>
    <t>Расшифровка подписи_4</t>
  </si>
  <si>
    <t>Члены комиссии_5</t>
  </si>
  <si>
    <t>Расшифровка подписи_5</t>
  </si>
  <si>
    <t>Члены комиссии_6</t>
  </si>
  <si>
    <t>Расшифровка подписи_6</t>
  </si>
  <si>
    <t>1. Сведения о состоянии объекта основных средств на дату передачи**</t>
  </si>
  <si>
    <t>** В первой строке показаны данные по бухгалтескому учету, а во второй - по налоговому учету.</t>
  </si>
  <si>
    <t>0306001</t>
  </si>
  <si>
    <t>Руководитель организации-получателя
 (должность)</t>
  </si>
  <si>
    <t>Восстановленный НДС</t>
  </si>
  <si>
    <t>Первоначаль ная стоимость на дату принятия к бухгалтерскому учету,
руб.</t>
  </si>
  <si>
    <t>Срок
полез ного исполь зова ния</t>
  </si>
  <si>
    <t>наимено вание</t>
  </si>
  <si>
    <t>2. Сведения об объекте основных средств</t>
  </si>
  <si>
    <t>на дату принятия к бухгалтерскому учету**</t>
  </si>
  <si>
    <t>Утверждена распоряжением ОАО «РЖД»</t>
  </si>
  <si>
    <t xml:space="preserve">По доверенности от </t>
  </si>
  <si>
    <t xml:space="preserve">сетевой </t>
  </si>
  <si>
    <t>регистрация прав на недвижимость</t>
  </si>
  <si>
    <t>Сетевой номер</t>
  </si>
  <si>
    <t>Начальник</t>
  </si>
  <si>
    <t>от</t>
  </si>
  <si>
    <t>ОАО «ТрансКонтейнер»</t>
  </si>
  <si>
    <t>94421386</t>
  </si>
  <si>
    <t>107174 Москва Каланчевская 6/2</t>
  </si>
  <si>
    <t>N350</t>
  </si>
  <si>
    <t>ОАО "Центр по перевозке грузов  в контейнерах "Трансконтейнер</t>
  </si>
  <si>
    <t>02.10.2006</t>
  </si>
  <si>
    <t>октября</t>
  </si>
  <si>
    <t>01 04 100100</t>
  </si>
  <si>
    <t>14 3020201</t>
  </si>
  <si>
    <t>03</t>
  </si>
  <si>
    <t>000000000001236</t>
  </si>
  <si>
    <t>N3501400000000620000</t>
  </si>
  <si>
    <t>140000000062</t>
  </si>
  <si>
    <t>"Системный блок HP dc7600 SFF P4-630"</t>
  </si>
  <si>
    <t>техническое МВЗ</t>
  </si>
  <si>
    <t>2006</t>
  </si>
  <si>
    <t>001</t>
  </si>
  <si>
    <t>м.</t>
  </si>
  <si>
    <t>лет.</t>
  </si>
  <si>
    <t>мес.</t>
  </si>
  <si>
    <t>ТЕХНИЧЕСКИЙ</t>
  </si>
  <si>
    <t>03500000</t>
  </si>
  <si>
    <t>140000000062/0000</t>
  </si>
  <si>
    <t>Cоответствует</t>
  </si>
</sst>
</file>

<file path=xl/styles.xml><?xml version="1.0" encoding="utf-8"?>
<styleSheet xmlns="http://schemas.openxmlformats.org/spreadsheetml/2006/main">
  <numFmts count="3">
    <numFmt numFmtId="165" formatCode="dd/mm/yy"/>
    <numFmt numFmtId="166" formatCode="d\ mmm\ yy"/>
    <numFmt numFmtId="167" formatCode="0.000"/>
  </numFmts>
  <fonts count="35"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6.5"/>
      <name val="Times New Roman"/>
      <family val="1"/>
      <charset val="204"/>
    </font>
    <font>
      <sz val="6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9.5"/>
      <name val="Times New Roman"/>
      <family val="1"/>
      <charset val="204"/>
    </font>
    <font>
      <b/>
      <sz val="10"/>
      <name val="Arial"/>
      <family val="2"/>
      <charset val="204"/>
    </font>
    <font>
      <b/>
      <sz val="10"/>
      <color indexed="48"/>
      <name val="Arial"/>
      <family val="2"/>
      <charset val="204"/>
    </font>
    <font>
      <b/>
      <sz val="8"/>
      <color indexed="10"/>
      <name val="Tahoma"/>
      <family val="2"/>
      <charset val="204"/>
    </font>
    <font>
      <b/>
      <sz val="8"/>
      <color indexed="81"/>
      <name val="Tahoma"/>
      <family val="2"/>
      <charset val="204"/>
    </font>
    <font>
      <b/>
      <sz val="8"/>
      <color indexed="48"/>
      <name val="Tahoma"/>
      <family val="2"/>
      <charset val="204"/>
    </font>
    <font>
      <sz val="8"/>
      <color indexed="81"/>
      <name val="Tahoma"/>
      <family val="2"/>
      <charset val="204"/>
    </font>
    <font>
      <b/>
      <sz val="12"/>
      <color indexed="12"/>
      <name val="Arial Cyr"/>
      <family val="2"/>
      <charset val="204"/>
    </font>
    <font>
      <sz val="12"/>
      <color indexed="12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name val="Times New Roman"/>
      <family val="1"/>
    </font>
    <font>
      <sz val="10"/>
      <name val="Arial Cyr"/>
      <charset val="204"/>
    </font>
    <font>
      <strike/>
      <sz val="10"/>
      <name val="Arial CYR"/>
      <family val="2"/>
      <charset val="204"/>
    </font>
    <font>
      <sz val="8"/>
      <name val="Arial Cyr"/>
      <family val="2"/>
      <charset val="204"/>
    </font>
    <font>
      <sz val="6"/>
      <name val="Microsoft Sans Serif"/>
      <family val="2"/>
    </font>
    <font>
      <sz val="7"/>
      <name val="Times New Roman"/>
      <family val="1"/>
      <charset val="204"/>
    </font>
    <font>
      <sz val="7"/>
      <name val="Arial Cyr"/>
      <charset val="204"/>
    </font>
    <font>
      <sz val="8"/>
      <name val="Times New Roman"/>
      <family val="1"/>
    </font>
    <font>
      <sz val="7"/>
      <name val="Microsoft Sans Serif"/>
      <family val="2"/>
    </font>
    <font>
      <strike/>
      <sz val="10"/>
      <name val="Times New Roman"/>
      <family val="1"/>
    </font>
    <font>
      <sz val="9"/>
      <name val="Times New Roman"/>
      <family val="1"/>
    </font>
    <font>
      <sz val="8"/>
      <name val="Arial Narrow"/>
      <family val="2"/>
    </font>
    <font>
      <sz val="9"/>
      <name val="Arial Narrow"/>
      <family val="2"/>
    </font>
    <font>
      <sz val="8"/>
      <name val="Times New Roman"/>
      <family val="1"/>
      <charset val="204"/>
    </font>
    <font>
      <strike/>
      <sz val="1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gray125">
        <fgColor indexed="11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0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7" fillId="0" borderId="0" xfId="0" applyFont="1" applyAlignment="1">
      <alignment horizontal="right"/>
    </xf>
    <xf numFmtId="0" fontId="1" fillId="0" borderId="0" xfId="0" applyFont="1" applyBorder="1" applyAlignment="1">
      <alignment wrapText="1"/>
    </xf>
    <xf numFmtId="0" fontId="7" fillId="0" borderId="1" xfId="0" applyFont="1" applyBorder="1"/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3" xfId="0" applyFont="1" applyBorder="1"/>
    <xf numFmtId="0" fontId="8" fillId="0" borderId="4" xfId="0" applyFont="1" applyBorder="1"/>
    <xf numFmtId="49" fontId="1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/>
    <xf numFmtId="0" fontId="5" fillId="0" borderId="0" xfId="0" applyFont="1" applyAlignment="1">
      <alignment horizont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8" fillId="0" borderId="0" xfId="0" applyFont="1" applyBorder="1" applyAlignment="1">
      <alignment horizontal="center"/>
    </xf>
    <xf numFmtId="49" fontId="1" fillId="0" borderId="0" xfId="0" applyNumberFormat="1" applyFont="1"/>
    <xf numFmtId="0" fontId="9" fillId="2" borderId="5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 wrapText="1"/>
    </xf>
    <xf numFmtId="0" fontId="9" fillId="2" borderId="8" xfId="0" applyFont="1" applyFill="1" applyBorder="1" applyAlignment="1">
      <alignment horizontal="left" wrapText="1"/>
    </xf>
    <xf numFmtId="0" fontId="9" fillId="2" borderId="9" xfId="0" applyFont="1" applyFill="1" applyBorder="1" applyAlignment="1">
      <alignment horizontal="left" wrapText="1"/>
    </xf>
    <xf numFmtId="0" fontId="9" fillId="2" borderId="10" xfId="0" applyFont="1" applyFill="1" applyBorder="1" applyAlignment="1">
      <alignment horizontal="left" wrapText="1"/>
    </xf>
    <xf numFmtId="0" fontId="9" fillId="2" borderId="11" xfId="0" applyFont="1" applyFill="1" applyBorder="1" applyAlignment="1">
      <alignment horizontal="left" wrapText="1"/>
    </xf>
    <xf numFmtId="0" fontId="9" fillId="2" borderId="12" xfId="0" applyFont="1" applyFill="1" applyBorder="1" applyAlignment="1">
      <alignment horizontal="left" wrapText="1"/>
    </xf>
    <xf numFmtId="0" fontId="9" fillId="2" borderId="13" xfId="0" applyFont="1" applyFill="1" applyBorder="1" applyAlignment="1">
      <alignment horizontal="left" wrapText="1"/>
    </xf>
    <xf numFmtId="0" fontId="9" fillId="2" borderId="14" xfId="0" applyFont="1" applyFill="1" applyBorder="1" applyAlignment="1">
      <alignment horizontal="left" wrapText="1"/>
    </xf>
    <xf numFmtId="0" fontId="9" fillId="2" borderId="15" xfId="0" applyFont="1" applyFill="1" applyBorder="1" applyAlignment="1">
      <alignment horizontal="left" wrapText="1"/>
    </xf>
    <xf numFmtId="0" fontId="9" fillId="2" borderId="16" xfId="0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49" fontId="10" fillId="2" borderId="17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15" xfId="0" applyFill="1" applyBorder="1"/>
    <xf numFmtId="0" fontId="0" fillId="4" borderId="15" xfId="0" applyFill="1" applyBorder="1"/>
    <xf numFmtId="0" fontId="0" fillId="5" borderId="15" xfId="0" applyFill="1" applyBorder="1"/>
    <xf numFmtId="0" fontId="17" fillId="3" borderId="15" xfId="0" applyFont="1" applyFill="1" applyBorder="1"/>
    <xf numFmtId="0" fontId="18" fillId="3" borderId="15" xfId="0" applyFont="1" applyFill="1" applyBorder="1"/>
    <xf numFmtId="0" fontId="18" fillId="4" borderId="15" xfId="0" applyFont="1" applyFill="1" applyBorder="1"/>
    <xf numFmtId="0" fontId="18" fillId="5" borderId="15" xfId="0" applyFont="1" applyFill="1" applyBorder="1"/>
    <xf numFmtId="0" fontId="9" fillId="2" borderId="18" xfId="0" applyFont="1" applyFill="1" applyBorder="1" applyAlignment="1">
      <alignment horizontal="left"/>
    </xf>
    <xf numFmtId="0" fontId="9" fillId="2" borderId="19" xfId="0" applyFont="1" applyFill="1" applyBorder="1" applyAlignment="1">
      <alignment horizontal="left" wrapText="1"/>
    </xf>
    <xf numFmtId="0" fontId="9" fillId="2" borderId="20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left"/>
    </xf>
    <xf numFmtId="0" fontId="19" fillId="3" borderId="15" xfId="0" applyFont="1" applyFill="1" applyBorder="1"/>
    <xf numFmtId="0" fontId="9" fillId="2" borderId="21" xfId="0" applyFont="1" applyFill="1" applyBorder="1" applyAlignment="1">
      <alignment horizontal="left" wrapText="1"/>
    </xf>
    <xf numFmtId="0" fontId="18" fillId="6" borderId="15" xfId="0" applyFont="1" applyFill="1" applyBorder="1"/>
    <xf numFmtId="0" fontId="0" fillId="6" borderId="15" xfId="0" applyFill="1" applyBorder="1"/>
    <xf numFmtId="0" fontId="17" fillId="6" borderId="15" xfId="0" applyFont="1" applyFill="1" applyBorder="1"/>
    <xf numFmtId="0" fontId="0" fillId="5" borderId="22" xfId="0" applyFill="1" applyBorder="1"/>
    <xf numFmtId="0" fontId="18" fillId="5" borderId="22" xfId="0" applyFont="1" applyFill="1" applyBorder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5" xfId="0" applyNumberFormat="1" applyBorder="1" applyAlignment="1">
      <alignment horizontal="left" vertical="top"/>
    </xf>
    <xf numFmtId="49" fontId="18" fillId="4" borderId="15" xfId="0" applyNumberFormat="1" applyFont="1" applyFill="1" applyBorder="1"/>
    <xf numFmtId="0" fontId="9" fillId="2" borderId="3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left" wrapText="1"/>
    </xf>
    <xf numFmtId="1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horizontal="right"/>
    </xf>
    <xf numFmtId="49" fontId="22" fillId="0" borderId="0" xfId="0" applyNumberFormat="1" applyFont="1"/>
    <xf numFmtId="0" fontId="23" fillId="0" borderId="0" xfId="0" applyFon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9" fillId="2" borderId="5" xfId="0" applyNumberFormat="1" applyFont="1" applyFill="1" applyBorder="1" applyAlignment="1">
      <alignment horizontal="left" vertical="top" wrapText="1"/>
    </xf>
    <xf numFmtId="0" fontId="27" fillId="0" borderId="0" xfId="0" applyFont="1"/>
    <xf numFmtId="0" fontId="1" fillId="0" borderId="0" xfId="0" applyNumberFormat="1" applyFont="1" applyBorder="1" applyAlignment="1">
      <alignment horizontal="center"/>
    </xf>
    <xf numFmtId="49" fontId="4" fillId="0" borderId="0" xfId="0" applyNumberFormat="1" applyFont="1"/>
    <xf numFmtId="49" fontId="3" fillId="0" borderId="0" xfId="0" applyNumberFormat="1" applyFont="1"/>
    <xf numFmtId="0" fontId="8" fillId="0" borderId="22" xfId="0" applyFont="1" applyBorder="1" applyAlignment="1">
      <alignment horizontal="right"/>
    </xf>
    <xf numFmtId="0" fontId="8" fillId="0" borderId="23" xfId="0" applyFont="1" applyBorder="1" applyAlignment="1">
      <alignment horizontal="right"/>
    </xf>
    <xf numFmtId="0" fontId="8" fillId="0" borderId="24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8" fillId="0" borderId="25" xfId="0" applyFont="1" applyBorder="1" applyAlignment="1">
      <alignment horizontal="right"/>
    </xf>
    <xf numFmtId="0" fontId="8" fillId="0" borderId="31" xfId="0" applyFont="1" applyBorder="1" applyAlignment="1">
      <alignment horizontal="right"/>
    </xf>
    <xf numFmtId="49" fontId="24" fillId="0" borderId="22" xfId="0" applyNumberFormat="1" applyFont="1" applyBorder="1" applyAlignment="1">
      <alignment horizontal="center" vertical="center"/>
    </xf>
    <xf numFmtId="49" fontId="24" fillId="0" borderId="23" xfId="0" applyNumberFormat="1" applyFont="1" applyBorder="1" applyAlignment="1">
      <alignment horizontal="center" vertical="center"/>
    </xf>
    <xf numFmtId="49" fontId="24" fillId="0" borderId="2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25" fillId="0" borderId="22" xfId="0" applyNumberFormat="1" applyFont="1" applyBorder="1" applyAlignment="1">
      <alignment horizontal="center" vertical="center"/>
    </xf>
    <xf numFmtId="49" fontId="25" fillId="0" borderId="23" xfId="0" applyNumberFormat="1" applyFont="1" applyBorder="1" applyAlignment="1">
      <alignment horizontal="center" vertical="center"/>
    </xf>
    <xf numFmtId="49" fontId="25" fillId="0" borderId="2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25" xfId="0" applyFont="1" applyBorder="1" applyAlignment="1">
      <alignment wrapText="1"/>
    </xf>
    <xf numFmtId="0" fontId="8" fillId="0" borderId="31" xfId="0" applyFont="1" applyBorder="1" applyAlignment="1">
      <alignment wrapText="1"/>
    </xf>
    <xf numFmtId="0" fontId="1" fillId="0" borderId="22" xfId="0" applyNumberFormat="1" applyFont="1" applyBorder="1" applyAlignment="1">
      <alignment horizontal="center"/>
    </xf>
    <xf numFmtId="0" fontId="1" fillId="0" borderId="23" xfId="0" applyNumberFormat="1" applyFont="1" applyBorder="1" applyAlignment="1">
      <alignment horizontal="center"/>
    </xf>
    <xf numFmtId="49" fontId="1" fillId="0" borderId="25" xfId="0" applyNumberFormat="1" applyFont="1" applyBorder="1" applyAlignment="1">
      <alignment horizontal="center"/>
    </xf>
    <xf numFmtId="0" fontId="1" fillId="0" borderId="25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5" xfId="0" applyFont="1" applyBorder="1" applyAlignment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4" xfId="0" applyNumberFormat="1" applyFont="1" applyBorder="1" applyAlignment="1">
      <alignment horizontal="center"/>
    </xf>
    <xf numFmtId="49" fontId="32" fillId="0" borderId="25" xfId="0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0" fillId="0" borderId="0" xfId="0" applyNumberFormat="1" applyAlignment="1"/>
    <xf numFmtId="0" fontId="1" fillId="0" borderId="0" xfId="0" applyFont="1" applyAlignment="1">
      <alignment horizontal="right"/>
    </xf>
    <xf numFmtId="49" fontId="31" fillId="0" borderId="25" xfId="0" applyNumberFormat="1" applyFont="1" applyBorder="1" applyAlignment="1">
      <alignment horizontal="center"/>
    </xf>
    <xf numFmtId="0" fontId="31" fillId="0" borderId="25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/>
    <xf numFmtId="0" fontId="32" fillId="0" borderId="25" xfId="0" applyNumberFormat="1" applyFont="1" applyBorder="1" applyAlignment="1">
      <alignment horizontal="center"/>
    </xf>
    <xf numFmtId="0" fontId="32" fillId="0" borderId="25" xfId="0" applyFont="1" applyBorder="1" applyAlignment="1"/>
    <xf numFmtId="0" fontId="0" fillId="0" borderId="25" xfId="0" applyBorder="1" applyAlignment="1"/>
    <xf numFmtId="49" fontId="1" fillId="0" borderId="22" xfId="0" applyNumberFormat="1" applyFont="1" applyBorder="1" applyAlignment="1">
      <alignment horizontal="center"/>
    </xf>
    <xf numFmtId="0" fontId="8" fillId="0" borderId="0" xfId="0" applyFont="1" applyAlignment="1">
      <alignment horizontal="right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49" fontId="24" fillId="0" borderId="22" xfId="0" applyNumberFormat="1" applyFont="1" applyBorder="1" applyAlignment="1">
      <alignment horizontal="center"/>
    </xf>
    <xf numFmtId="0" fontId="24" fillId="0" borderId="23" xfId="0" applyNumberFormat="1" applyFont="1" applyBorder="1" applyAlignment="1">
      <alignment horizontal="center"/>
    </xf>
    <xf numFmtId="0" fontId="24" fillId="0" borderId="24" xfId="0" applyNumberFormat="1" applyFont="1" applyBorder="1" applyAlignment="1">
      <alignment horizontal="center"/>
    </xf>
    <xf numFmtId="165" fontId="1" fillId="0" borderId="22" xfId="0" applyNumberFormat="1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165" fontId="1" fillId="0" borderId="24" xfId="0" applyNumberFormat="1" applyFont="1" applyBorder="1" applyAlignment="1">
      <alignment horizontal="center"/>
    </xf>
    <xf numFmtId="0" fontId="0" fillId="0" borderId="1" xfId="0" applyBorder="1" applyAlignme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0" borderId="25" xfId="0" applyNumberFormat="1" applyBorder="1" applyAlignment="1"/>
    <xf numFmtId="0" fontId="2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5" xfId="0" applyNumberFormat="1" applyFont="1" applyBorder="1" applyAlignment="1"/>
    <xf numFmtId="0" fontId="1" fillId="0" borderId="0" xfId="0" applyFont="1" applyAlignment="1">
      <alignment vertical="center"/>
    </xf>
    <xf numFmtId="0" fontId="1" fillId="0" borderId="25" xfId="0" applyNumberFormat="1" applyFont="1" applyBorder="1" applyAlignment="1">
      <alignment horizontal="left"/>
    </xf>
    <xf numFmtId="0" fontId="29" fillId="0" borderId="25" xfId="0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0" fontId="7" fillId="0" borderId="23" xfId="0" applyFont="1" applyBorder="1" applyAlignment="1">
      <alignment horizontal="center" vertical="top" wrapText="1"/>
    </xf>
    <xf numFmtId="0" fontId="7" fillId="0" borderId="24" xfId="0" applyFont="1" applyBorder="1" applyAlignment="1">
      <alignment horizontal="center" vertical="top" wrapText="1"/>
    </xf>
    <xf numFmtId="167" fontId="1" fillId="0" borderId="22" xfId="0" applyNumberFormat="1" applyFont="1" applyBorder="1" applyAlignment="1">
      <alignment horizontal="center"/>
    </xf>
    <xf numFmtId="167" fontId="1" fillId="0" borderId="23" xfId="0" applyNumberFormat="1" applyFont="1" applyBorder="1" applyAlignment="1">
      <alignment horizontal="center"/>
    </xf>
    <xf numFmtId="167" fontId="1" fillId="0" borderId="24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 vertical="top"/>
    </xf>
    <xf numFmtId="0" fontId="1" fillId="0" borderId="32" xfId="0" applyFont="1" applyBorder="1" applyAlignment="1">
      <alignment horizontal="center"/>
    </xf>
    <xf numFmtId="0" fontId="7" fillId="0" borderId="22" xfId="0" applyNumberFormat="1" applyFont="1" applyBorder="1" applyAlignment="1">
      <alignment horizontal="center" vertical="center"/>
    </xf>
    <xf numFmtId="0" fontId="7" fillId="0" borderId="23" xfId="0" applyNumberFormat="1" applyFont="1" applyBorder="1" applyAlignment="1">
      <alignment horizontal="center" vertical="center"/>
    </xf>
    <xf numFmtId="0" fontId="7" fillId="0" borderId="24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34" fillId="0" borderId="25" xfId="0" applyNumberFormat="1" applyFont="1" applyBorder="1" applyAlignment="1">
      <alignment horizontal="left"/>
    </xf>
    <xf numFmtId="0" fontId="1" fillId="0" borderId="33" xfId="0" applyFont="1" applyBorder="1" applyAlignment="1">
      <alignment horizontal="center" vertical="top" wrapText="1"/>
    </xf>
    <xf numFmtId="0" fontId="1" fillId="0" borderId="34" xfId="0" applyFont="1" applyBorder="1" applyAlignment="1">
      <alignment horizontal="center" vertical="top" wrapText="1"/>
    </xf>
    <xf numFmtId="49" fontId="1" fillId="0" borderId="29" xfId="0" applyNumberFormat="1" applyFont="1" applyBorder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0" fontId="8" fillId="0" borderId="26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30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25" xfId="0" applyFont="1" applyBorder="1" applyAlignment="1">
      <alignment horizontal="center" wrapText="1"/>
    </xf>
    <xf numFmtId="0" fontId="8" fillId="0" borderId="31" xfId="0" applyFont="1" applyBorder="1" applyAlignment="1">
      <alignment horizont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49" fontId="8" fillId="0" borderId="25" xfId="0" applyNumberFormat="1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49" fontId="3" fillId="0" borderId="22" xfId="0" applyNumberFormat="1" applyFont="1" applyBorder="1" applyAlignment="1">
      <alignment horizontal="center"/>
    </xf>
    <xf numFmtId="49" fontId="3" fillId="0" borderId="23" xfId="0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center"/>
    </xf>
    <xf numFmtId="0" fontId="1" fillId="0" borderId="26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30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5" xfId="0" applyFont="1" applyBorder="1" applyAlignment="1">
      <alignment horizontal="right"/>
    </xf>
    <xf numFmtId="0" fontId="1" fillId="0" borderId="31" xfId="0" applyFont="1" applyBorder="1" applyAlignment="1">
      <alignment horizontal="right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166" fontId="2" fillId="0" borderId="22" xfId="0" applyNumberFormat="1" applyFont="1" applyBorder="1" applyAlignment="1">
      <alignment horizontal="center"/>
    </xf>
    <xf numFmtId="166" fontId="2" fillId="0" borderId="23" xfId="0" applyNumberFormat="1" applyFont="1" applyBorder="1" applyAlignment="1">
      <alignment horizontal="center"/>
    </xf>
    <xf numFmtId="166" fontId="2" fillId="0" borderId="24" xfId="0" applyNumberFormat="1" applyFont="1" applyBorder="1" applyAlignment="1">
      <alignment horizontal="center"/>
    </xf>
    <xf numFmtId="49" fontId="33" fillId="0" borderId="22" xfId="0" applyNumberFormat="1" applyFont="1" applyBorder="1" applyAlignment="1"/>
    <xf numFmtId="0" fontId="33" fillId="0" borderId="23" xfId="0" applyNumberFormat="1" applyFont="1" applyBorder="1" applyAlignment="1"/>
    <xf numFmtId="0" fontId="33" fillId="0" borderId="24" xfId="0" applyNumberFormat="1" applyFont="1" applyBorder="1" applyAlignment="1"/>
    <xf numFmtId="0" fontId="1" fillId="0" borderId="2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8" fillId="0" borderId="22" xfId="0" applyNumberFormat="1" applyFont="1" applyBorder="1" applyAlignment="1"/>
    <xf numFmtId="0" fontId="28" fillId="0" borderId="23" xfId="0" applyNumberFormat="1" applyFont="1" applyBorder="1" applyAlignment="1"/>
    <xf numFmtId="0" fontId="28" fillId="0" borderId="24" xfId="0" applyNumberFormat="1" applyFont="1" applyBorder="1" applyAlignment="1"/>
    <xf numFmtId="0" fontId="25" fillId="0" borderId="22" xfId="0" applyNumberFormat="1" applyFont="1" applyBorder="1" applyAlignment="1"/>
    <xf numFmtId="0" fontId="25" fillId="0" borderId="23" xfId="0" applyNumberFormat="1" applyFont="1" applyBorder="1" applyAlignment="1"/>
    <xf numFmtId="0" fontId="25" fillId="0" borderId="24" xfId="0" applyNumberFormat="1" applyFont="1" applyBorder="1" applyAlignment="1"/>
    <xf numFmtId="165" fontId="1" fillId="0" borderId="22" xfId="0" applyNumberFormat="1" applyFont="1" applyBorder="1" applyAlignment="1"/>
    <xf numFmtId="165" fontId="1" fillId="0" borderId="23" xfId="0" applyNumberFormat="1" applyFont="1" applyBorder="1" applyAlignment="1"/>
    <xf numFmtId="165" fontId="1" fillId="0" borderId="24" xfId="0" applyNumberFormat="1" applyFont="1" applyBorder="1" applyAlignment="1"/>
    <xf numFmtId="0" fontId="33" fillId="0" borderId="22" xfId="0" applyNumberFormat="1" applyFont="1" applyBorder="1" applyAlignment="1"/>
    <xf numFmtId="1" fontId="25" fillId="0" borderId="26" xfId="0" applyNumberFormat="1" applyFont="1" applyBorder="1" applyAlignment="1">
      <alignment shrinkToFit="1"/>
    </xf>
    <xf numFmtId="0" fontId="26" fillId="0" borderId="1" xfId="0" applyFont="1" applyBorder="1" applyAlignment="1">
      <alignment shrinkToFit="1"/>
    </xf>
    <xf numFmtId="0" fontId="26" fillId="0" borderId="30" xfId="0" applyFont="1" applyBorder="1" applyAlignment="1">
      <alignment shrinkToFit="1"/>
    </xf>
    <xf numFmtId="0" fontId="31" fillId="0" borderId="25" xfId="0" applyFont="1" applyBorder="1" applyAlignment="1"/>
    <xf numFmtId="0" fontId="0" fillId="0" borderId="1" xfId="0" applyBorder="1" applyAlignment="1">
      <alignment vertical="center"/>
    </xf>
    <xf numFmtId="49" fontId="20" fillId="0" borderId="25" xfId="0" applyNumberFormat="1" applyFont="1" applyBorder="1" applyAlignment="1">
      <alignment horizontal="center"/>
    </xf>
    <xf numFmtId="0" fontId="20" fillId="0" borderId="25" xfId="0" applyNumberFormat="1" applyFont="1" applyBorder="1" applyAlignment="1">
      <alignment horizontal="center"/>
    </xf>
    <xf numFmtId="0" fontId="8" fillId="0" borderId="25" xfId="0" applyNumberFormat="1" applyFont="1" applyBorder="1" applyAlignment="1">
      <alignment horizontal="center"/>
    </xf>
    <xf numFmtId="1" fontId="20" fillId="0" borderId="25" xfId="0" applyNumberFormat="1" applyFont="1" applyBorder="1" applyAlignment="1">
      <alignment horizontal="center"/>
    </xf>
    <xf numFmtId="1" fontId="20" fillId="0" borderId="0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49" fontId="8" fillId="0" borderId="25" xfId="0" applyNumberFormat="1" applyFont="1" applyBorder="1" applyAlignment="1">
      <alignment horizontal="left"/>
    </xf>
    <xf numFmtId="0" fontId="8" fillId="0" borderId="25" xfId="0" applyNumberFormat="1" applyFont="1" applyBorder="1" applyAlignment="1">
      <alignment horizontal="left"/>
    </xf>
    <xf numFmtId="49" fontId="25" fillId="0" borderId="4" xfId="0" applyNumberFormat="1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6" fillId="0" borderId="31" xfId="0" applyFont="1" applyBorder="1" applyAlignment="1">
      <alignment shrinkToFit="1"/>
    </xf>
    <xf numFmtId="49" fontId="25" fillId="0" borderId="4" xfId="0" applyNumberFormat="1" applyFont="1" applyBorder="1" applyAlignment="1"/>
    <xf numFmtId="0" fontId="26" fillId="0" borderId="25" xfId="0" applyFont="1" applyBorder="1" applyAlignment="1"/>
    <xf numFmtId="0" fontId="26" fillId="0" borderId="31" xfId="0" applyFont="1" applyBorder="1" applyAlignment="1"/>
    <xf numFmtId="49" fontId="1" fillId="0" borderId="22" xfId="0" applyNumberFormat="1" applyFont="1" applyBorder="1" applyAlignment="1"/>
    <xf numFmtId="49" fontId="1" fillId="0" borderId="23" xfId="0" applyNumberFormat="1" applyFont="1" applyBorder="1" applyAlignment="1"/>
    <xf numFmtId="49" fontId="1" fillId="0" borderId="24" xfId="0" applyNumberFormat="1" applyFont="1" applyBorder="1" applyAlignment="1"/>
    <xf numFmtId="0" fontId="1" fillId="0" borderId="22" xfId="0" applyNumberFormat="1" applyFont="1" applyBorder="1" applyAlignment="1"/>
    <xf numFmtId="0" fontId="1" fillId="0" borderId="23" xfId="0" applyNumberFormat="1" applyFont="1" applyBorder="1" applyAlignment="1"/>
    <xf numFmtId="0" fontId="1" fillId="0" borderId="24" xfId="0" applyNumberFormat="1" applyFont="1" applyBorder="1" applyAlignment="1"/>
    <xf numFmtId="0" fontId="25" fillId="0" borderId="26" xfId="0" applyNumberFormat="1" applyFont="1" applyBorder="1" applyAlignment="1"/>
    <xf numFmtId="0" fontId="26" fillId="0" borderId="1" xfId="0" applyFont="1" applyBorder="1" applyAlignment="1"/>
    <xf numFmtId="0" fontId="26" fillId="0" borderId="30" xfId="0" applyFont="1" applyBorder="1" applyAlignment="1"/>
    <xf numFmtId="0" fontId="4" fillId="0" borderId="3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7" fillId="0" borderId="25" xfId="0" applyNumberFormat="1" applyFont="1" applyBorder="1" applyAlignment="1">
      <alignment horizontal="left"/>
    </xf>
    <xf numFmtId="0" fontId="7" fillId="0" borderId="25" xfId="0" applyNumberFormat="1" applyFont="1" applyBorder="1" applyAlignment="1">
      <alignment horizontal="left"/>
    </xf>
    <xf numFmtId="0" fontId="2" fillId="0" borderId="22" xfId="0" applyNumberFormat="1" applyFont="1" applyBorder="1" applyAlignment="1">
      <alignment horizontal="center"/>
    </xf>
    <xf numFmtId="0" fontId="2" fillId="0" borderId="23" xfId="0" applyNumberFormat="1" applyFont="1" applyBorder="1" applyAlignment="1">
      <alignment horizontal="center"/>
    </xf>
    <xf numFmtId="0" fontId="2" fillId="0" borderId="24" xfId="0" applyNumberFormat="1" applyFont="1" applyBorder="1" applyAlignment="1">
      <alignment horizontal="center"/>
    </xf>
    <xf numFmtId="49" fontId="7" fillId="0" borderId="25" xfId="0" applyNumberFormat="1" applyFont="1" applyBorder="1" applyAlignment="1">
      <alignment horizontal="center"/>
    </xf>
    <xf numFmtId="0" fontId="7" fillId="0" borderId="25" xfId="0" applyNumberFormat="1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25" xfId="0" applyFont="1" applyBorder="1" applyAlignment="1">
      <alignment horizontal="left"/>
    </xf>
    <xf numFmtId="0" fontId="1" fillId="0" borderId="29" xfId="0" applyFont="1" applyBorder="1" applyAlignment="1">
      <alignment horizontal="center"/>
    </xf>
    <xf numFmtId="0" fontId="1" fillId="0" borderId="27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30" fillId="0" borderId="22" xfId="0" applyNumberFormat="1" applyFont="1" applyBorder="1" applyAlignment="1">
      <alignment horizontal="center" wrapText="1"/>
    </xf>
    <xf numFmtId="0" fontId="30" fillId="0" borderId="23" xfId="0" applyNumberFormat="1" applyFont="1" applyBorder="1" applyAlignment="1">
      <alignment horizontal="center" wrapText="1"/>
    </xf>
    <xf numFmtId="0" fontId="30" fillId="0" borderId="24" xfId="0" applyNumberFormat="1" applyFont="1" applyBorder="1" applyAlignment="1">
      <alignment horizontal="center" wrapText="1"/>
    </xf>
    <xf numFmtId="0" fontId="31" fillId="0" borderId="25" xfId="0" applyNumberFormat="1" applyFont="1" applyBorder="1" applyAlignment="1"/>
    <xf numFmtId="0" fontId="15" fillId="0" borderId="35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29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FE142"/>
  <sheetViews>
    <sheetView tabSelected="1" view="pageBreakPreview" zoomScaleNormal="100" zoomScaleSheetLayoutView="100" workbookViewId="0"/>
  </sheetViews>
  <sheetFormatPr defaultColWidth="0.85546875" defaultRowHeight="12.75"/>
  <cols>
    <col min="1" max="68" width="0.85546875" style="1"/>
    <col min="69" max="69" width="2.7109375" style="1" customWidth="1"/>
    <col min="70" max="72" width="0.85546875" style="1"/>
    <col min="73" max="73" width="2.7109375" style="1" customWidth="1"/>
    <col min="74" max="95" width="0.85546875" style="1"/>
    <col min="96" max="96" width="2.85546875" style="1" customWidth="1"/>
    <col min="97" max="97" width="2.7109375" style="1" customWidth="1"/>
    <col min="98" max="98" width="1.28515625" style="1" customWidth="1"/>
    <col min="99" max="99" width="0.85546875" style="1" customWidth="1"/>
    <col min="100" max="100" width="0.85546875" style="1"/>
    <col min="101" max="101" width="1.7109375" style="1" customWidth="1"/>
    <col min="102" max="102" width="1.140625" style="1" customWidth="1"/>
    <col min="103" max="104" width="0.85546875" style="1"/>
    <col min="105" max="105" width="2.7109375" style="1" customWidth="1"/>
    <col min="106" max="133" width="0.85546875" style="1"/>
    <col min="134" max="134" width="1" style="1" customWidth="1"/>
    <col min="135" max="136" width="0.85546875" style="1" customWidth="1"/>
    <col min="137" max="147" width="0.85546875" style="1"/>
    <col min="148" max="148" width="1.85546875" style="1" customWidth="1"/>
    <col min="149" max="156" width="0.85546875" style="1"/>
    <col min="157" max="157" width="1.5703125" style="1" customWidth="1"/>
    <col min="158" max="158" width="0.85546875" style="1"/>
    <col min="159" max="159" width="1" style="1" customWidth="1"/>
    <col min="160" max="160" width="0.85546875" style="1" customWidth="1"/>
    <col min="161" max="16384" width="0.85546875" style="1"/>
  </cols>
  <sheetData>
    <row r="1" spans="1:161" ht="10.5" customHeight="1">
      <c r="DP1" s="11" t="s">
        <v>89</v>
      </c>
    </row>
    <row r="2" spans="1:161" ht="10.5" customHeight="1">
      <c r="DP2" s="12" t="s">
        <v>382</v>
      </c>
    </row>
    <row r="3" spans="1:161" ht="10.5" customHeight="1">
      <c r="DP3" s="12" t="s">
        <v>388</v>
      </c>
    </row>
    <row r="4" spans="1:161" ht="11.1" customHeight="1">
      <c r="A4" s="1" t="s">
        <v>0</v>
      </c>
      <c r="CN4" s="1" t="s">
        <v>0</v>
      </c>
    </row>
    <row r="5" spans="1:161" ht="11.1" customHeight="1">
      <c r="A5" s="1" t="s">
        <v>1</v>
      </c>
      <c r="CN5" s="1" t="s">
        <v>84</v>
      </c>
    </row>
    <row r="6" spans="1:161" ht="11.85" customHeight="1">
      <c r="A6" s="128" t="str">
        <f>Itemdata_1.1!B7</f>
        <v xml:space="preserve"> 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241"/>
      <c r="Y6" s="241"/>
      <c r="Z6" s="241"/>
      <c r="AA6" s="241"/>
      <c r="AB6" s="241"/>
      <c r="AC6" s="10"/>
      <c r="AD6" s="10"/>
      <c r="AE6" s="12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S6" s="128" t="str">
        <f>Itemdata_1.1!B8</f>
        <v xml:space="preserve"> </v>
      </c>
      <c r="AT6" s="241"/>
      <c r="AU6" s="241"/>
      <c r="AV6" s="241"/>
      <c r="AW6" s="241"/>
      <c r="AX6" s="241"/>
      <c r="AY6" s="241"/>
      <c r="AZ6" s="241"/>
      <c r="BA6" s="241"/>
      <c r="BB6" s="241"/>
      <c r="BC6" s="241"/>
      <c r="BD6" s="241"/>
      <c r="BE6" s="241"/>
      <c r="BF6" s="241"/>
      <c r="BG6" s="241"/>
      <c r="BH6" s="241"/>
      <c r="BI6" s="241"/>
      <c r="BJ6" s="241"/>
      <c r="BK6" s="241"/>
      <c r="BL6" s="241"/>
      <c r="BM6" s="241"/>
      <c r="BN6" s="241"/>
      <c r="BO6" s="241"/>
      <c r="BP6" s="241"/>
      <c r="BQ6" s="241"/>
      <c r="BR6" s="241"/>
      <c r="BS6" s="241"/>
      <c r="BT6" s="241"/>
      <c r="BU6" s="241"/>
      <c r="CN6" s="128" t="str">
        <f>+Itemdata_1.1!B2</f>
        <v>Начальник</v>
      </c>
      <c r="CO6" s="241"/>
      <c r="CP6" s="241"/>
      <c r="CQ6" s="241"/>
      <c r="CR6" s="241"/>
      <c r="CS6" s="241"/>
      <c r="CT6" s="241"/>
      <c r="CU6" s="241"/>
      <c r="CV6" s="241"/>
      <c r="CW6" s="241"/>
      <c r="CX6" s="241"/>
      <c r="CY6" s="241"/>
      <c r="CZ6" s="241"/>
      <c r="DA6" s="241"/>
      <c r="DB6" s="241"/>
      <c r="DC6" s="241"/>
      <c r="DD6" s="241"/>
      <c r="DE6" s="241"/>
      <c r="DF6" s="241"/>
      <c r="DG6" s="241"/>
      <c r="DH6" s="241"/>
      <c r="DI6" s="241"/>
      <c r="DJ6" s="241"/>
      <c r="DK6" s="241"/>
      <c r="DL6" s="241"/>
      <c r="DM6" s="241"/>
      <c r="DN6" s="241"/>
      <c r="DO6" s="241"/>
      <c r="DQ6" s="117"/>
      <c r="DR6" s="134"/>
      <c r="DS6" s="134"/>
      <c r="DT6" s="134"/>
      <c r="DU6" s="134"/>
      <c r="DV6" s="134"/>
      <c r="DW6" s="134"/>
      <c r="DX6" s="134"/>
      <c r="DY6" s="134"/>
      <c r="DZ6" s="134"/>
      <c r="EA6" s="134"/>
      <c r="EB6" s="134"/>
      <c r="EC6" s="10"/>
      <c r="ED6" s="128" t="str">
        <f>+Itemdata_1.1!B3</f>
        <v xml:space="preserve"> </v>
      </c>
      <c r="EE6" s="241"/>
      <c r="EF6" s="241"/>
      <c r="EG6" s="241"/>
      <c r="EH6" s="241"/>
      <c r="EI6" s="241"/>
      <c r="EJ6" s="241"/>
      <c r="EK6" s="241"/>
      <c r="EL6" s="241"/>
      <c r="EM6" s="241"/>
      <c r="EN6" s="241"/>
      <c r="EO6" s="241"/>
      <c r="EP6" s="241"/>
      <c r="EQ6" s="241"/>
      <c r="ER6" s="241"/>
      <c r="ES6" s="241"/>
      <c r="ET6" s="241"/>
      <c r="EU6" s="241"/>
      <c r="EV6" s="241"/>
      <c r="EW6" s="241"/>
      <c r="EX6" s="241"/>
      <c r="EY6" s="241"/>
      <c r="EZ6" s="241"/>
      <c r="FA6" s="241"/>
      <c r="FB6" s="241"/>
      <c r="FC6" s="241"/>
      <c r="FD6" s="241"/>
      <c r="FE6" s="241"/>
    </row>
    <row r="7" spans="1:161" s="6" customFormat="1" ht="8.1" customHeight="1">
      <c r="A7" s="157" t="s">
        <v>2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242"/>
      <c r="Y7" s="242"/>
      <c r="Z7" s="242"/>
      <c r="AA7" s="242"/>
      <c r="AB7" s="242"/>
      <c r="AC7" s="28"/>
      <c r="AD7" s="28"/>
      <c r="AE7" s="157" t="s">
        <v>3</v>
      </c>
      <c r="AF7" s="242"/>
      <c r="AG7" s="242"/>
      <c r="AH7" s="242"/>
      <c r="AI7" s="242"/>
      <c r="AJ7" s="242"/>
      <c r="AK7" s="242"/>
      <c r="AL7" s="242"/>
      <c r="AM7" s="242"/>
      <c r="AN7" s="242"/>
      <c r="AO7" s="242"/>
      <c r="AP7" s="242"/>
      <c r="AQ7" s="13"/>
      <c r="AR7" s="13"/>
      <c r="AS7" s="157" t="s">
        <v>4</v>
      </c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57"/>
      <c r="BF7" s="157"/>
      <c r="BG7" s="157"/>
      <c r="BH7" s="157"/>
      <c r="BI7" s="157"/>
      <c r="BJ7" s="157"/>
      <c r="BK7" s="157"/>
      <c r="BL7" s="157"/>
      <c r="BM7" s="157"/>
      <c r="BN7" s="242"/>
      <c r="BO7" s="242"/>
      <c r="BP7" s="242"/>
      <c r="BQ7" s="242"/>
      <c r="BR7" s="242"/>
      <c r="BS7" s="242"/>
      <c r="BT7" s="242"/>
      <c r="BU7" s="242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279" t="s">
        <v>2</v>
      </c>
      <c r="CO7" s="280"/>
      <c r="CP7" s="280"/>
      <c r="CQ7" s="280"/>
      <c r="CR7" s="280"/>
      <c r="CS7" s="280"/>
      <c r="CT7" s="280"/>
      <c r="CU7" s="280"/>
      <c r="CV7" s="280"/>
      <c r="CW7" s="280"/>
      <c r="CX7" s="280"/>
      <c r="CY7" s="280"/>
      <c r="CZ7" s="280"/>
      <c r="DA7" s="280"/>
      <c r="DB7" s="280"/>
      <c r="DC7" s="280"/>
      <c r="DD7" s="280"/>
      <c r="DE7" s="280"/>
      <c r="DF7" s="280"/>
      <c r="DG7" s="280"/>
      <c r="DH7" s="280"/>
      <c r="DI7" s="280"/>
      <c r="DJ7" s="280"/>
      <c r="DK7" s="280"/>
      <c r="DL7" s="280"/>
      <c r="DM7" s="280"/>
      <c r="DN7" s="280"/>
      <c r="DO7" s="280"/>
      <c r="DP7" s="13"/>
      <c r="DQ7" s="157" t="s">
        <v>3</v>
      </c>
      <c r="DR7" s="242"/>
      <c r="DS7" s="242"/>
      <c r="DT7" s="242"/>
      <c r="DU7" s="242"/>
      <c r="DV7" s="242"/>
      <c r="DW7" s="242"/>
      <c r="DX7" s="242"/>
      <c r="DY7" s="242"/>
      <c r="DZ7" s="242"/>
      <c r="EA7" s="242"/>
      <c r="EB7" s="242"/>
      <c r="EC7" s="28"/>
      <c r="ED7" s="157" t="s">
        <v>4</v>
      </c>
      <c r="EE7" s="242"/>
      <c r="EF7" s="242"/>
      <c r="EG7" s="242"/>
      <c r="EH7" s="242"/>
      <c r="EI7" s="242"/>
      <c r="EJ7" s="242"/>
      <c r="EK7" s="242"/>
      <c r="EL7" s="242"/>
      <c r="EM7" s="242"/>
      <c r="EN7" s="242"/>
      <c r="EO7" s="242"/>
      <c r="EP7" s="242"/>
      <c r="EQ7" s="242"/>
      <c r="ER7" s="242"/>
      <c r="ES7" s="242"/>
      <c r="ET7" s="242"/>
      <c r="EU7" s="242"/>
      <c r="EV7" s="242"/>
      <c r="EW7" s="242"/>
      <c r="EX7" s="242"/>
      <c r="EY7" s="242"/>
      <c r="EZ7" s="242"/>
      <c r="FA7" s="242"/>
      <c r="FB7" s="242"/>
      <c r="FC7" s="242"/>
      <c r="FD7" s="242"/>
      <c r="FE7" s="242"/>
    </row>
    <row r="8" spans="1:161" ht="12" customHeight="1">
      <c r="H8" s="5" t="s">
        <v>5</v>
      </c>
      <c r="I8" s="243"/>
      <c r="J8" s="244"/>
      <c r="K8" s="244"/>
      <c r="L8" s="244"/>
      <c r="M8" s="244"/>
      <c r="N8" s="1" t="s">
        <v>5</v>
      </c>
      <c r="P8" s="243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27">
        <v>20</v>
      </c>
      <c r="AJ8" s="127"/>
      <c r="AK8" s="127"/>
      <c r="AL8" s="127"/>
      <c r="AM8" s="243"/>
      <c r="AN8" s="244"/>
      <c r="AO8" s="244"/>
      <c r="AP8" s="1" t="s">
        <v>6</v>
      </c>
      <c r="CZ8" s="5" t="s">
        <v>5</v>
      </c>
      <c r="DA8" s="246">
        <f>IF(Itemdata_1.1!B30&gt;0,DAY(Itemdata_1.1!B30),"")</f>
        <v>2</v>
      </c>
      <c r="DB8" s="246"/>
      <c r="DC8" s="246"/>
      <c r="DD8" s="246"/>
      <c r="DE8" s="246"/>
      <c r="DF8" s="1" t="s">
        <v>5</v>
      </c>
      <c r="DH8" s="246" t="str">
        <f>IF(Itemdata_1.1!B47&lt;&gt;"",Itemdata_1.1!B47,"")</f>
        <v>октября</v>
      </c>
      <c r="DI8" s="246"/>
      <c r="DJ8" s="246"/>
      <c r="DK8" s="246"/>
      <c r="DL8" s="246"/>
      <c r="DM8" s="246"/>
      <c r="DN8" s="246"/>
      <c r="DO8" s="246"/>
      <c r="DP8" s="246"/>
      <c r="DQ8" s="246"/>
      <c r="DR8" s="246"/>
      <c r="DS8" s="246"/>
      <c r="DT8" s="246"/>
      <c r="DU8" s="246"/>
      <c r="DV8" s="246"/>
      <c r="DW8" s="246"/>
      <c r="DX8" s="246"/>
      <c r="DY8" s="246"/>
      <c r="DZ8" s="246"/>
      <c r="EA8" s="127"/>
      <c r="EB8" s="127"/>
      <c r="EC8" s="247">
        <f>IF(Itemdata_1.1!B30&gt;0,YEAR(Itemdata_1.1!B30),"")</f>
        <v>2006</v>
      </c>
      <c r="ED8" s="248"/>
      <c r="EE8" s="248"/>
      <c r="EF8" s="248"/>
      <c r="EG8" s="248"/>
      <c r="EH8" s="1" t="s">
        <v>6</v>
      </c>
    </row>
    <row r="9" spans="1:161" ht="11.1" customHeight="1">
      <c r="A9" s="1" t="s">
        <v>7</v>
      </c>
      <c r="CN9" s="1" t="s">
        <v>7</v>
      </c>
    </row>
    <row r="10" spans="1:161" ht="11.1" customHeight="1">
      <c r="EP10" s="118" t="s">
        <v>8</v>
      </c>
      <c r="EQ10" s="119"/>
      <c r="ER10" s="119"/>
      <c r="ES10" s="119"/>
      <c r="ET10" s="119"/>
      <c r="EU10" s="119"/>
      <c r="EV10" s="119"/>
      <c r="EW10" s="119"/>
      <c r="EX10" s="119"/>
      <c r="EY10" s="119"/>
      <c r="EZ10" s="119"/>
      <c r="FA10" s="119"/>
      <c r="FB10" s="119"/>
      <c r="FC10" s="119"/>
      <c r="FD10" s="119"/>
      <c r="FE10" s="120"/>
    </row>
    <row r="11" spans="1:161" ht="11.85" customHeight="1">
      <c r="DU11" s="1" t="s">
        <v>11</v>
      </c>
      <c r="EE11" s="1" t="s">
        <v>9</v>
      </c>
      <c r="EP11" s="135" t="s">
        <v>374</v>
      </c>
      <c r="EQ11" s="187"/>
      <c r="ER11" s="187"/>
      <c r="ES11" s="187"/>
      <c r="ET11" s="187"/>
      <c r="EU11" s="187"/>
      <c r="EV11" s="187"/>
      <c r="EW11" s="187"/>
      <c r="EX11" s="187"/>
      <c r="EY11" s="187"/>
      <c r="EZ11" s="187"/>
      <c r="FA11" s="187"/>
      <c r="FB11" s="187"/>
      <c r="FC11" s="187"/>
      <c r="FD11" s="187"/>
      <c r="FE11" s="200"/>
    </row>
    <row r="12" spans="1:161" ht="11.85" customHeight="1">
      <c r="A12" s="1" t="s">
        <v>12</v>
      </c>
      <c r="Y12" s="276" t="str">
        <f>+Itemdata_1.1!B45</f>
        <v>ОАО "Центр по перевозке грузов  в контейнерах "Трансконтейнер</v>
      </c>
      <c r="Z12" s="277"/>
      <c r="AA12" s="277"/>
      <c r="AB12" s="277"/>
      <c r="AC12" s="277"/>
      <c r="AD12" s="277"/>
      <c r="AE12" s="277"/>
      <c r="AF12" s="277"/>
      <c r="AG12" s="277"/>
      <c r="AH12" s="277"/>
      <c r="AI12" s="277"/>
      <c r="AJ12" s="277"/>
      <c r="AK12" s="277"/>
      <c r="AL12" s="277"/>
      <c r="AM12" s="277"/>
      <c r="AN12" s="277"/>
      <c r="AO12" s="277"/>
      <c r="AP12" s="277"/>
      <c r="AQ12" s="277"/>
      <c r="AR12" s="277"/>
      <c r="AS12" s="277"/>
      <c r="AT12" s="277"/>
      <c r="AU12" s="277"/>
      <c r="AV12" s="277"/>
      <c r="AW12" s="277"/>
      <c r="AX12" s="277"/>
      <c r="AY12" s="277"/>
      <c r="AZ12" s="277"/>
      <c r="BA12" s="277"/>
      <c r="BB12" s="277"/>
      <c r="BC12" s="277"/>
      <c r="BD12" s="277"/>
      <c r="BE12" s="277"/>
      <c r="BF12" s="277"/>
      <c r="BG12" s="277"/>
      <c r="BH12" s="277"/>
      <c r="BI12" s="277"/>
      <c r="BJ12" s="277"/>
      <c r="BK12" s="277"/>
      <c r="BL12" s="277"/>
      <c r="BM12" s="277"/>
      <c r="BN12" s="277"/>
      <c r="BO12" s="277"/>
      <c r="BP12" s="277"/>
      <c r="BQ12" s="277"/>
      <c r="BR12" s="277"/>
      <c r="BS12" s="277"/>
      <c r="BT12" s="277"/>
      <c r="BU12" s="277"/>
      <c r="BV12" s="277"/>
      <c r="BW12" s="277"/>
      <c r="BX12" s="277"/>
      <c r="BY12" s="277"/>
      <c r="BZ12" s="277"/>
      <c r="CA12" s="277"/>
      <c r="CB12" s="277"/>
      <c r="CC12" s="277"/>
      <c r="CD12" s="277"/>
      <c r="CE12" s="277"/>
      <c r="CF12" s="277"/>
      <c r="CG12" s="277"/>
      <c r="CH12" s="277"/>
      <c r="CI12" s="277"/>
      <c r="CJ12" s="277"/>
      <c r="CK12" s="277"/>
      <c r="CL12" s="277"/>
      <c r="CM12" s="277"/>
      <c r="CN12" s="277"/>
      <c r="CO12" s="277"/>
      <c r="CP12" s="277"/>
      <c r="CQ12" s="277"/>
      <c r="CR12" s="277"/>
      <c r="CS12" s="277"/>
      <c r="CT12" s="277"/>
      <c r="CU12" s="277"/>
      <c r="CV12" s="277"/>
      <c r="CW12" s="277"/>
      <c r="CX12" s="277"/>
      <c r="CY12" s="277"/>
      <c r="CZ12" s="277"/>
      <c r="DA12" s="277"/>
      <c r="DB12" s="277"/>
      <c r="DC12" s="277"/>
      <c r="DD12" s="277"/>
      <c r="DE12" s="277"/>
      <c r="DF12" s="277"/>
      <c r="DG12" s="277"/>
      <c r="DH12" s="277"/>
      <c r="DI12" s="277"/>
      <c r="DJ12" s="277"/>
      <c r="DK12" s="277"/>
      <c r="DL12" s="277"/>
      <c r="DM12" s="277"/>
      <c r="DN12" s="277"/>
      <c r="DO12" s="277"/>
      <c r="DP12" s="277"/>
      <c r="DQ12" s="277"/>
      <c r="DR12" s="277"/>
      <c r="DS12" s="277"/>
      <c r="DT12" s="277"/>
      <c r="DU12" s="277"/>
      <c r="DV12" s="277"/>
      <c r="DW12" s="277"/>
      <c r="DX12" s="277"/>
      <c r="DY12" s="277"/>
      <c r="DZ12" s="277"/>
      <c r="EA12" s="277"/>
      <c r="EB12" s="277"/>
      <c r="EE12" s="1" t="s">
        <v>10</v>
      </c>
      <c r="EP12" s="135" t="str">
        <f>+Itemdata_1.1!B21</f>
        <v>94421386</v>
      </c>
      <c r="EQ12" s="187"/>
      <c r="ER12" s="187"/>
      <c r="ES12" s="187"/>
      <c r="ET12" s="187"/>
      <c r="EU12" s="187"/>
      <c r="EV12" s="187"/>
      <c r="EW12" s="187"/>
      <c r="EX12" s="187"/>
      <c r="EY12" s="187"/>
      <c r="EZ12" s="187"/>
      <c r="FA12" s="187"/>
      <c r="FB12" s="187"/>
      <c r="FC12" s="187"/>
      <c r="FD12" s="187"/>
      <c r="FE12" s="200"/>
    </row>
    <row r="13" spans="1:161" s="6" customFormat="1" ht="8.1" customHeight="1"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B13" s="14"/>
      <c r="BC13" s="14"/>
      <c r="BD13" s="14"/>
      <c r="BE13" s="14"/>
      <c r="BF13" s="14"/>
      <c r="BG13" s="14"/>
      <c r="BI13" s="14"/>
      <c r="BJ13" s="15" t="s">
        <v>13</v>
      </c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P13" s="88"/>
      <c r="EQ13" s="88"/>
      <c r="ER13" s="88"/>
      <c r="ES13" s="88"/>
      <c r="ET13" s="88"/>
      <c r="EU13" s="88"/>
      <c r="EV13" s="88"/>
      <c r="EW13" s="88"/>
      <c r="EX13" s="88"/>
      <c r="EY13" s="88"/>
      <c r="EZ13" s="88"/>
      <c r="FA13" s="88"/>
      <c r="FB13" s="88"/>
      <c r="FC13" s="88"/>
      <c r="FD13" s="88"/>
      <c r="FE13" s="88"/>
    </row>
    <row r="14" spans="1:161" ht="11.1" customHeight="1">
      <c r="A14" s="245" t="str">
        <f>CONCATENATE(Itemdata_1.1!B22,IF(AND(Itemdata_1.1!B22&lt;&gt;"",OR(Itemdata_1.1!B23&lt;&gt;"",Itemdata_1.1!B24&lt;&gt;"")),";   ",),Itemdata_1.1!B23,IF(AND(Itemdata_1.1!B23&lt;&gt;"",Itemdata_1.1!B24&lt;&gt;""),";   ",),Itemdata_1.1!B24)</f>
        <v>107174 Москва Каланчевская 6/2</v>
      </c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B14" s="245"/>
      <c r="BC14" s="245"/>
      <c r="BD14" s="245"/>
      <c r="BE14" s="245"/>
      <c r="BF14" s="245"/>
      <c r="BG14" s="245"/>
      <c r="BH14" s="245"/>
      <c r="BI14" s="245"/>
      <c r="BJ14" s="245"/>
      <c r="BK14" s="245"/>
      <c r="BL14" s="245"/>
      <c r="BM14" s="245"/>
      <c r="BN14" s="245"/>
      <c r="BO14" s="245"/>
      <c r="BP14" s="245"/>
      <c r="BQ14" s="245"/>
      <c r="BR14" s="245"/>
      <c r="BS14" s="245"/>
      <c r="BT14" s="245"/>
      <c r="BU14" s="245"/>
      <c r="BV14" s="245"/>
      <c r="BW14" s="245"/>
      <c r="BX14" s="245"/>
      <c r="BY14" s="245"/>
      <c r="BZ14" s="245"/>
      <c r="CA14" s="245"/>
      <c r="CB14" s="245"/>
      <c r="CC14" s="245"/>
      <c r="CD14" s="245"/>
      <c r="CE14" s="245"/>
      <c r="CF14" s="245"/>
      <c r="CG14" s="245"/>
      <c r="CH14" s="245"/>
      <c r="CI14" s="245"/>
      <c r="CJ14" s="245"/>
      <c r="CK14" s="245"/>
      <c r="CL14" s="245"/>
      <c r="CM14" s="245"/>
      <c r="CN14" s="245"/>
      <c r="CO14" s="245"/>
      <c r="CP14" s="245"/>
      <c r="CQ14" s="245"/>
      <c r="CR14" s="245"/>
      <c r="CS14" s="245"/>
      <c r="CT14" s="245"/>
      <c r="CU14" s="245"/>
      <c r="CV14" s="245"/>
      <c r="CW14" s="245"/>
      <c r="CX14" s="245"/>
      <c r="CY14" s="245"/>
      <c r="CZ14" s="245"/>
      <c r="DA14" s="245"/>
      <c r="DB14" s="245"/>
      <c r="DC14" s="245"/>
      <c r="DD14" s="245"/>
      <c r="DE14" s="245"/>
      <c r="DF14" s="245"/>
      <c r="DG14" s="245"/>
      <c r="DH14" s="245"/>
      <c r="DI14" s="245"/>
      <c r="DJ14" s="245"/>
      <c r="DK14" s="245"/>
      <c r="DL14" s="245"/>
      <c r="DM14" s="245"/>
      <c r="DN14" s="245"/>
      <c r="DO14" s="245"/>
      <c r="DP14" s="245"/>
      <c r="DQ14" s="245"/>
      <c r="DR14" s="245"/>
      <c r="DS14" s="245"/>
      <c r="DT14" s="245"/>
      <c r="DU14" s="245"/>
      <c r="DV14" s="245"/>
      <c r="DW14" s="245"/>
      <c r="DX14" s="245"/>
      <c r="DY14" s="245"/>
      <c r="DZ14" s="245"/>
      <c r="EA14" s="245"/>
      <c r="EB14" s="245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</row>
    <row r="15" spans="1:161" s="6" customFormat="1" ht="8.1" customHeight="1">
      <c r="A15" s="157" t="s">
        <v>14</v>
      </c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  <c r="BM15" s="157"/>
      <c r="BN15" s="157"/>
      <c r="BO15" s="157"/>
      <c r="BP15" s="157"/>
      <c r="BQ15" s="157"/>
      <c r="BR15" s="157"/>
      <c r="BS15" s="157"/>
      <c r="BT15" s="157"/>
      <c r="BU15" s="157"/>
      <c r="BV15" s="157"/>
      <c r="BW15" s="157"/>
      <c r="BX15" s="157"/>
      <c r="BY15" s="157"/>
      <c r="BZ15" s="157"/>
      <c r="CA15" s="157"/>
      <c r="CB15" s="157"/>
      <c r="CC15" s="157"/>
      <c r="CD15" s="157"/>
      <c r="CE15" s="157"/>
      <c r="CF15" s="157"/>
      <c r="CG15" s="157"/>
      <c r="CH15" s="157"/>
      <c r="CI15" s="157"/>
      <c r="CJ15" s="157"/>
      <c r="CK15" s="157"/>
      <c r="CL15" s="157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C15" s="157"/>
      <c r="DD15" s="157"/>
      <c r="DE15" s="157"/>
      <c r="DF15" s="157"/>
      <c r="DG15" s="157"/>
      <c r="DH15" s="157"/>
      <c r="DI15" s="157"/>
      <c r="DJ15" s="157"/>
      <c r="DK15" s="157"/>
      <c r="DL15" s="157"/>
      <c r="DM15" s="157"/>
      <c r="DN15" s="157"/>
      <c r="DO15" s="157"/>
      <c r="DP15" s="157"/>
      <c r="DQ15" s="157"/>
      <c r="DR15" s="157"/>
      <c r="DS15" s="157"/>
      <c r="DT15" s="157"/>
      <c r="DU15" s="157"/>
      <c r="DV15" s="157"/>
      <c r="DW15" s="157"/>
      <c r="DX15" s="157"/>
      <c r="DY15" s="157"/>
      <c r="DZ15" s="157"/>
      <c r="EA15" s="157"/>
      <c r="EB15" s="157"/>
      <c r="EP15" s="88"/>
      <c r="EQ15" s="88"/>
      <c r="ER15" s="88"/>
      <c r="ES15" s="88"/>
      <c r="ET15" s="88"/>
      <c r="EU15" s="88"/>
      <c r="EV15" s="88"/>
      <c r="EW15" s="88"/>
      <c r="EX15" s="88"/>
      <c r="EY15" s="88"/>
      <c r="EZ15" s="88"/>
      <c r="FA15" s="88"/>
      <c r="FB15" s="88"/>
      <c r="FC15" s="88"/>
      <c r="FD15" s="88"/>
      <c r="FE15" s="88"/>
    </row>
    <row r="16" spans="1:161" ht="11.1" customHeight="1">
      <c r="A16" s="250" t="str">
        <f>+Itemdata_1.1!B25</f>
        <v xml:space="preserve"> </v>
      </c>
      <c r="B16" s="282"/>
      <c r="C16" s="282"/>
      <c r="D16" s="282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2"/>
      <c r="BD16" s="282"/>
      <c r="BE16" s="282"/>
      <c r="BF16" s="282"/>
      <c r="BG16" s="282"/>
      <c r="BH16" s="282"/>
      <c r="BI16" s="282"/>
      <c r="BJ16" s="282"/>
      <c r="BK16" s="282"/>
      <c r="BL16" s="282"/>
      <c r="BM16" s="282"/>
      <c r="BN16" s="282"/>
      <c r="BO16" s="282"/>
      <c r="BP16" s="282"/>
      <c r="BQ16" s="282"/>
      <c r="BR16" s="282"/>
      <c r="BS16" s="282"/>
      <c r="BT16" s="282"/>
      <c r="BU16" s="282"/>
      <c r="BV16" s="282"/>
      <c r="BW16" s="282"/>
      <c r="BX16" s="282"/>
      <c r="BY16" s="282"/>
      <c r="BZ16" s="282"/>
      <c r="CA16" s="282"/>
      <c r="CB16" s="282"/>
      <c r="CC16" s="282"/>
      <c r="CD16" s="282"/>
      <c r="CE16" s="282"/>
      <c r="CF16" s="282"/>
      <c r="CG16" s="282"/>
      <c r="CH16" s="282"/>
      <c r="CI16" s="282"/>
      <c r="CJ16" s="282"/>
      <c r="CK16" s="282"/>
      <c r="CL16" s="282"/>
      <c r="CM16" s="282"/>
      <c r="CN16" s="282"/>
      <c r="CO16" s="282"/>
      <c r="CP16" s="282"/>
      <c r="CQ16" s="282"/>
      <c r="CR16" s="282"/>
      <c r="CS16" s="282"/>
      <c r="CT16" s="282"/>
      <c r="CU16" s="282"/>
      <c r="CV16" s="282"/>
      <c r="CW16" s="282"/>
      <c r="CX16" s="282"/>
      <c r="CY16" s="282"/>
      <c r="CZ16" s="282"/>
      <c r="DA16" s="282"/>
      <c r="DB16" s="282"/>
      <c r="DC16" s="282"/>
      <c r="DD16" s="282"/>
      <c r="DE16" s="282"/>
      <c r="DF16" s="282"/>
      <c r="DG16" s="282"/>
      <c r="DH16" s="282"/>
      <c r="DI16" s="282"/>
      <c r="DJ16" s="282"/>
      <c r="DK16" s="282"/>
      <c r="DL16" s="282"/>
      <c r="DM16" s="282"/>
      <c r="DN16" s="282"/>
      <c r="DO16" s="282"/>
      <c r="DP16" s="282"/>
      <c r="DQ16" s="282"/>
      <c r="DR16" s="282"/>
      <c r="DS16" s="282"/>
      <c r="DT16" s="282"/>
      <c r="DU16" s="282"/>
      <c r="DV16" s="282"/>
      <c r="DW16" s="282"/>
      <c r="DX16" s="282"/>
      <c r="DY16" s="282"/>
      <c r="DZ16" s="282"/>
      <c r="EA16" s="282"/>
      <c r="EB16" s="282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</row>
    <row r="17" spans="1:161" s="6" customFormat="1" ht="8.1" customHeight="1">
      <c r="A17" s="157" t="s">
        <v>15</v>
      </c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  <c r="BK17" s="157"/>
      <c r="BL17" s="157"/>
      <c r="BM17" s="157"/>
      <c r="BN17" s="157"/>
      <c r="BO17" s="157"/>
      <c r="BP17" s="157"/>
      <c r="BQ17" s="157"/>
      <c r="BR17" s="157"/>
      <c r="BS17" s="157"/>
      <c r="BT17" s="157"/>
      <c r="BU17" s="157"/>
      <c r="BV17" s="157"/>
      <c r="BW17" s="157"/>
      <c r="BX17" s="157"/>
      <c r="BY17" s="157"/>
      <c r="BZ17" s="157"/>
      <c r="CA17" s="157"/>
      <c r="CB17" s="157"/>
      <c r="CC17" s="157"/>
      <c r="CD17" s="157"/>
      <c r="CE17" s="157"/>
      <c r="CF17" s="157"/>
      <c r="CG17" s="157"/>
      <c r="CH17" s="157"/>
      <c r="CI17" s="157"/>
      <c r="CJ17" s="157"/>
      <c r="CK17" s="157"/>
      <c r="CL17" s="157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C17" s="157"/>
      <c r="DD17" s="157"/>
      <c r="DE17" s="157"/>
      <c r="DF17" s="157"/>
      <c r="DG17" s="157"/>
      <c r="DH17" s="157"/>
      <c r="DI17" s="157"/>
      <c r="DJ17" s="157"/>
      <c r="DK17" s="157"/>
      <c r="DL17" s="157"/>
      <c r="DM17" s="157"/>
      <c r="DN17" s="157"/>
      <c r="DO17" s="157"/>
      <c r="DP17" s="157"/>
      <c r="DQ17" s="157"/>
      <c r="DR17" s="157"/>
      <c r="DS17" s="157"/>
      <c r="DT17" s="157"/>
      <c r="DU17" s="157"/>
      <c r="DV17" s="157"/>
      <c r="DW17" s="157"/>
      <c r="DX17" s="157"/>
      <c r="DY17" s="157"/>
      <c r="DZ17" s="157"/>
      <c r="EA17" s="157"/>
      <c r="EB17" s="157"/>
      <c r="EP17" s="88"/>
      <c r="EQ17" s="88"/>
      <c r="ER17" s="88"/>
      <c r="ES17" s="88"/>
      <c r="ET17" s="88"/>
      <c r="EU17" s="88"/>
      <c r="EV17" s="88"/>
      <c r="EW17" s="88"/>
      <c r="EX17" s="88"/>
      <c r="EY17" s="88"/>
      <c r="EZ17" s="88"/>
      <c r="FA17" s="88"/>
      <c r="FB17" s="88"/>
      <c r="FC17" s="88"/>
      <c r="FD17" s="88"/>
      <c r="FE17" s="88"/>
    </row>
    <row r="18" spans="1:161" ht="11.1" customHeight="1">
      <c r="A18" s="197" t="str">
        <f>+Itemdata_1.1!B20</f>
        <v>ОАО «ТрансКонтейнер»</v>
      </c>
      <c r="B18" s="245"/>
      <c r="C18" s="245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5"/>
      <c r="AX18" s="245"/>
      <c r="AY18" s="245"/>
      <c r="AZ18" s="245"/>
      <c r="BA18" s="245"/>
      <c r="BB18" s="245"/>
      <c r="BC18" s="245"/>
      <c r="BD18" s="245"/>
      <c r="BE18" s="245"/>
      <c r="BF18" s="245"/>
      <c r="BG18" s="245"/>
      <c r="BH18" s="245"/>
      <c r="BI18" s="245"/>
      <c r="BJ18" s="245"/>
      <c r="BK18" s="245"/>
      <c r="BL18" s="245"/>
      <c r="BM18" s="245"/>
      <c r="BN18" s="245"/>
      <c r="BO18" s="245"/>
      <c r="BP18" s="245"/>
      <c r="BQ18" s="245"/>
      <c r="BR18" s="245"/>
      <c r="BS18" s="245"/>
      <c r="BT18" s="245"/>
      <c r="BU18" s="245"/>
      <c r="BV18" s="245"/>
      <c r="BW18" s="245"/>
      <c r="BX18" s="245"/>
      <c r="BY18" s="245"/>
      <c r="BZ18" s="245"/>
      <c r="CA18" s="245"/>
      <c r="CB18" s="245"/>
      <c r="CC18" s="245"/>
      <c r="CD18" s="245"/>
      <c r="CE18" s="245"/>
      <c r="CF18" s="245"/>
      <c r="CG18" s="245"/>
      <c r="CH18" s="245"/>
      <c r="CI18" s="245"/>
      <c r="CJ18" s="245"/>
      <c r="CK18" s="245"/>
      <c r="CL18" s="245"/>
      <c r="CM18" s="245"/>
      <c r="CN18" s="245"/>
      <c r="CO18" s="245"/>
      <c r="CP18" s="245"/>
      <c r="CQ18" s="245"/>
      <c r="CR18" s="245"/>
      <c r="CS18" s="245"/>
      <c r="CT18" s="245"/>
      <c r="CU18" s="245"/>
      <c r="CV18" s="245"/>
      <c r="CW18" s="245"/>
      <c r="CX18" s="245"/>
      <c r="CY18" s="245"/>
      <c r="CZ18" s="245"/>
      <c r="DA18" s="245"/>
      <c r="DB18" s="245"/>
      <c r="DC18" s="245"/>
      <c r="DD18" s="245"/>
      <c r="DE18" s="245"/>
      <c r="DF18" s="245"/>
      <c r="DG18" s="245"/>
      <c r="DH18" s="245"/>
      <c r="DI18" s="245"/>
      <c r="DJ18" s="245"/>
      <c r="DK18" s="245"/>
      <c r="DL18" s="245"/>
      <c r="DM18" s="245"/>
      <c r="DN18" s="245"/>
      <c r="DO18" s="245"/>
      <c r="DP18" s="245"/>
      <c r="DQ18" s="245"/>
      <c r="DR18" s="245"/>
      <c r="DS18" s="245"/>
      <c r="DT18" s="245"/>
      <c r="DU18" s="245"/>
      <c r="DV18" s="245"/>
      <c r="DW18" s="245"/>
      <c r="DX18" s="245"/>
      <c r="DY18" s="245"/>
      <c r="DZ18" s="245"/>
      <c r="EA18" s="245"/>
      <c r="EB18" s="245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9"/>
      <c r="EP18" s="135" t="str">
        <f>Itemdata_1.1!C20</f>
        <v>N350</v>
      </c>
      <c r="EQ18" s="187"/>
      <c r="ER18" s="187"/>
      <c r="ES18" s="187"/>
      <c r="ET18" s="187"/>
      <c r="EU18" s="187"/>
      <c r="EV18" s="187"/>
      <c r="EW18" s="187"/>
      <c r="EX18" s="187"/>
      <c r="EY18" s="187"/>
      <c r="EZ18" s="187"/>
      <c r="FA18" s="187"/>
      <c r="FB18" s="187"/>
      <c r="FC18" s="187"/>
      <c r="FD18" s="187"/>
      <c r="FE18" s="200"/>
    </row>
    <row r="19" spans="1:161" s="3" customFormat="1" ht="11.85" customHeight="1">
      <c r="A19" s="249" t="s">
        <v>16</v>
      </c>
      <c r="B19" s="249"/>
      <c r="C19" s="249"/>
      <c r="D19" s="249"/>
      <c r="E19" s="249"/>
      <c r="F19" s="249"/>
      <c r="G19" s="249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49"/>
      <c r="AA19" s="249"/>
      <c r="AB19" s="249"/>
      <c r="AC19" s="249"/>
      <c r="AD19" s="249"/>
      <c r="AE19" s="249"/>
      <c r="AF19" s="249"/>
      <c r="AG19" s="249"/>
      <c r="AH19" s="249"/>
      <c r="AI19" s="249"/>
      <c r="AJ19" s="249"/>
      <c r="AK19" s="249"/>
      <c r="AL19" s="249"/>
      <c r="AM19" s="249"/>
      <c r="AN19" s="249"/>
      <c r="AO19" s="249"/>
      <c r="AP19" s="249"/>
      <c r="AQ19" s="249"/>
      <c r="AR19" s="249"/>
      <c r="AS19" s="249"/>
      <c r="AT19" s="249"/>
      <c r="AU19" s="249"/>
      <c r="AV19" s="249"/>
      <c r="AW19" s="249"/>
      <c r="AX19" s="249"/>
      <c r="AY19" s="249"/>
      <c r="AZ19" s="249"/>
      <c r="BA19" s="249"/>
      <c r="BB19" s="249"/>
      <c r="BC19" s="249"/>
      <c r="BD19" s="249"/>
      <c r="BE19" s="249"/>
      <c r="BF19" s="249"/>
      <c r="BG19" s="249"/>
      <c r="BH19" s="249"/>
      <c r="BI19" s="249"/>
      <c r="BJ19" s="249"/>
      <c r="BK19" s="249"/>
      <c r="BL19" s="249"/>
      <c r="BM19" s="249"/>
      <c r="BN19" s="249"/>
      <c r="BO19" s="249"/>
      <c r="BP19" s="249"/>
      <c r="BQ19" s="249"/>
      <c r="BR19" s="249"/>
      <c r="BS19" s="249"/>
      <c r="BT19" s="249"/>
      <c r="BU19" s="249"/>
      <c r="BV19" s="249"/>
      <c r="BW19" s="249"/>
      <c r="BX19" s="249"/>
      <c r="BY19" s="249"/>
      <c r="BZ19" s="249"/>
      <c r="CA19" s="249"/>
      <c r="CB19" s="249"/>
      <c r="CC19" s="249"/>
      <c r="CD19" s="249"/>
      <c r="CE19" s="249"/>
      <c r="CF19" s="249"/>
      <c r="CG19" s="249"/>
      <c r="CH19" s="249"/>
      <c r="CI19" s="249"/>
      <c r="CJ19" s="249"/>
      <c r="CK19" s="249"/>
      <c r="CL19" s="249"/>
      <c r="CM19" s="249"/>
      <c r="CN19" s="249"/>
      <c r="CO19" s="249"/>
      <c r="CP19" s="249"/>
      <c r="CQ19" s="249"/>
      <c r="CR19" s="249"/>
      <c r="CS19" s="249"/>
      <c r="CT19" s="249"/>
      <c r="CU19" s="249"/>
      <c r="CV19" s="249"/>
      <c r="CW19" s="249"/>
      <c r="CX19" s="249"/>
      <c r="CY19" s="249"/>
      <c r="CZ19" s="249"/>
      <c r="DA19" s="249"/>
      <c r="DB19" s="249"/>
      <c r="DC19" s="249"/>
      <c r="DD19" s="249"/>
      <c r="DE19" s="249"/>
      <c r="DF19" s="249"/>
      <c r="DG19" s="249"/>
      <c r="DH19" s="249"/>
      <c r="DI19" s="249"/>
      <c r="DJ19" s="249"/>
      <c r="DK19" s="249"/>
      <c r="DL19" s="249"/>
      <c r="DM19" s="249"/>
      <c r="DN19" s="249"/>
      <c r="DO19" s="249"/>
      <c r="DP19" s="249"/>
      <c r="DQ19" s="249"/>
      <c r="DR19" s="249"/>
      <c r="DS19" s="249"/>
      <c r="DT19" s="249"/>
      <c r="DU19" s="249"/>
      <c r="DV19" s="249"/>
      <c r="DW19" s="249"/>
      <c r="DX19" s="249"/>
      <c r="DY19" s="249"/>
      <c r="DZ19" s="249"/>
      <c r="EA19" s="249"/>
      <c r="EB19" s="249"/>
      <c r="EE19" s="1" t="s">
        <v>10</v>
      </c>
      <c r="EP19" s="135" t="str">
        <f>+Itemdata_1.1!B14</f>
        <v xml:space="preserve">   </v>
      </c>
      <c r="EQ19" s="187"/>
      <c r="ER19" s="187"/>
      <c r="ES19" s="187"/>
      <c r="ET19" s="187"/>
      <c r="EU19" s="187"/>
      <c r="EV19" s="187"/>
      <c r="EW19" s="187"/>
      <c r="EX19" s="187"/>
      <c r="EY19" s="187"/>
      <c r="EZ19" s="187"/>
      <c r="FA19" s="187"/>
      <c r="FB19" s="187"/>
      <c r="FC19" s="187"/>
      <c r="FD19" s="187"/>
      <c r="FE19" s="200"/>
    </row>
    <row r="20" spans="1:161" ht="11.85" customHeight="1">
      <c r="A20" s="1" t="s">
        <v>17</v>
      </c>
      <c r="V20" s="271" t="str">
        <f>+Itemdata_1.1!B12</f>
        <v xml:space="preserve"> </v>
      </c>
      <c r="W20" s="272"/>
      <c r="X20" s="272"/>
      <c r="Y20" s="272"/>
      <c r="Z20" s="272"/>
      <c r="AA20" s="272"/>
      <c r="AB20" s="272"/>
      <c r="AC20" s="272"/>
      <c r="AD20" s="272"/>
      <c r="AE20" s="272"/>
      <c r="AF20" s="272"/>
      <c r="AG20" s="272"/>
      <c r="AH20" s="272"/>
      <c r="AI20" s="272"/>
      <c r="AJ20" s="272"/>
      <c r="AK20" s="272"/>
      <c r="AL20" s="272"/>
      <c r="AM20" s="272"/>
      <c r="AN20" s="272"/>
      <c r="AO20" s="272"/>
      <c r="AP20" s="272"/>
      <c r="AQ20" s="272"/>
      <c r="AR20" s="272"/>
      <c r="AS20" s="272"/>
      <c r="AT20" s="272"/>
      <c r="AU20" s="272"/>
      <c r="AV20" s="272"/>
      <c r="AW20" s="272"/>
      <c r="AX20" s="272"/>
      <c r="AY20" s="272"/>
      <c r="AZ20" s="272"/>
      <c r="BA20" s="272"/>
      <c r="BB20" s="272"/>
      <c r="BC20" s="272"/>
      <c r="BD20" s="272"/>
      <c r="BE20" s="272"/>
      <c r="BF20" s="272"/>
      <c r="BG20" s="272"/>
      <c r="BH20" s="272"/>
      <c r="BI20" s="272"/>
      <c r="BJ20" s="272"/>
      <c r="BK20" s="272"/>
      <c r="BL20" s="272"/>
      <c r="BM20" s="272"/>
      <c r="BN20" s="272"/>
      <c r="BO20" s="272"/>
      <c r="BP20" s="272"/>
      <c r="BQ20" s="272"/>
      <c r="BR20" s="272"/>
      <c r="BS20" s="272"/>
      <c r="BT20" s="272"/>
      <c r="BU20" s="272"/>
      <c r="BV20" s="272"/>
      <c r="BW20" s="272"/>
      <c r="BX20" s="272"/>
      <c r="BY20" s="272"/>
      <c r="BZ20" s="272"/>
      <c r="CA20" s="272"/>
      <c r="CB20" s="272"/>
      <c r="CC20" s="272"/>
      <c r="CD20" s="272"/>
      <c r="CE20" s="272"/>
      <c r="CF20" s="272"/>
      <c r="CG20" s="272"/>
      <c r="CH20" s="272"/>
      <c r="CI20" s="272"/>
      <c r="CJ20" s="272"/>
      <c r="CK20" s="272"/>
      <c r="CL20" s="272"/>
      <c r="CM20" s="272"/>
      <c r="CN20" s="272"/>
      <c r="CO20" s="272"/>
      <c r="CP20" s="272"/>
      <c r="CQ20" s="272"/>
      <c r="CR20" s="272"/>
      <c r="CS20" s="272"/>
      <c r="CT20" s="272"/>
      <c r="CU20" s="272"/>
      <c r="CV20" s="272"/>
      <c r="CW20" s="272"/>
      <c r="CX20" s="272"/>
      <c r="CY20" s="272"/>
      <c r="CZ20" s="272"/>
      <c r="DA20" s="272"/>
      <c r="DB20" s="272"/>
      <c r="DC20" s="272"/>
      <c r="DD20" s="272"/>
      <c r="DE20" s="272"/>
      <c r="DF20" s="272"/>
      <c r="DG20" s="272"/>
      <c r="DH20" s="272"/>
      <c r="DI20" s="272"/>
      <c r="DJ20" s="272"/>
      <c r="DK20" s="272"/>
      <c r="DL20" s="272"/>
      <c r="DM20" s="272"/>
      <c r="DN20" s="272"/>
      <c r="DO20" s="272"/>
      <c r="DP20" s="272"/>
      <c r="DQ20" s="272"/>
      <c r="DR20" s="272"/>
      <c r="DS20" s="272"/>
      <c r="DT20" s="272"/>
      <c r="DU20" s="272"/>
      <c r="DV20" s="272"/>
      <c r="DW20" s="272"/>
      <c r="DX20" s="272"/>
      <c r="DY20" s="272"/>
      <c r="DZ20" s="272"/>
      <c r="EA20" s="272"/>
      <c r="EB20" s="272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</row>
    <row r="21" spans="1:161" s="6" customFormat="1" ht="8.1" customHeight="1">
      <c r="BJ21" s="15" t="s">
        <v>13</v>
      </c>
      <c r="EP21" s="88"/>
      <c r="EQ21" s="88"/>
      <c r="ER21" s="88"/>
      <c r="ES21" s="88"/>
      <c r="ET21" s="88"/>
      <c r="EU21" s="88"/>
      <c r="EV21" s="88"/>
      <c r="EW21" s="88"/>
      <c r="EX21" s="88"/>
      <c r="EY21" s="88"/>
      <c r="EZ21" s="88"/>
      <c r="FA21" s="88"/>
      <c r="FB21" s="88"/>
      <c r="FC21" s="88"/>
      <c r="FD21" s="88"/>
      <c r="FE21" s="88"/>
    </row>
    <row r="22" spans="1:161" ht="11.1" customHeight="1">
      <c r="A22" s="245" t="str">
        <f>CONCATENATE(Itemdata_1.1!B15,IF(AND(Itemdata_1.1!B15&lt;&gt;"",OR(Itemdata_1.1!B16&lt;&gt;"",Itemdata_1.1!B17&lt;&gt;"")),";   ",),Itemdata_1.1!B16,IF(AND(Itemdata_1.1!B16&lt;&gt;"",Itemdata_1.1!B17&lt;&gt;""),";   ",),Itemdata_1.1!B17)</f>
        <v/>
      </c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5"/>
      <c r="AS22" s="245"/>
      <c r="AT22" s="245"/>
      <c r="AU22" s="245"/>
      <c r="AV22" s="245"/>
      <c r="AW22" s="245"/>
      <c r="AX22" s="245"/>
      <c r="AY22" s="245"/>
      <c r="AZ22" s="245"/>
      <c r="BA22" s="245"/>
      <c r="BB22" s="245"/>
      <c r="BC22" s="245"/>
      <c r="BD22" s="245"/>
      <c r="BE22" s="245"/>
      <c r="BF22" s="245"/>
      <c r="BG22" s="245"/>
      <c r="BH22" s="245"/>
      <c r="BI22" s="245"/>
      <c r="BJ22" s="245"/>
      <c r="BK22" s="245"/>
      <c r="BL22" s="245"/>
      <c r="BM22" s="245"/>
      <c r="BN22" s="245"/>
      <c r="BO22" s="245"/>
      <c r="BP22" s="245"/>
      <c r="BQ22" s="245"/>
      <c r="BR22" s="245"/>
      <c r="BS22" s="245"/>
      <c r="BT22" s="245"/>
      <c r="BU22" s="245"/>
      <c r="BV22" s="245"/>
      <c r="BW22" s="245"/>
      <c r="BX22" s="245"/>
      <c r="BY22" s="245"/>
      <c r="BZ22" s="245"/>
      <c r="CA22" s="245"/>
      <c r="CB22" s="245"/>
      <c r="CC22" s="245"/>
      <c r="CD22" s="245"/>
      <c r="CE22" s="245"/>
      <c r="CF22" s="245"/>
      <c r="CG22" s="245"/>
      <c r="CH22" s="245"/>
      <c r="CI22" s="245"/>
      <c r="CJ22" s="245"/>
      <c r="CK22" s="245"/>
      <c r="CL22" s="245"/>
      <c r="CM22" s="245"/>
      <c r="CN22" s="245"/>
      <c r="CO22" s="245"/>
      <c r="CP22" s="245"/>
      <c r="CQ22" s="245"/>
      <c r="CR22" s="245"/>
      <c r="CS22" s="245"/>
      <c r="CT22" s="245"/>
      <c r="CU22" s="245"/>
      <c r="CV22" s="245"/>
      <c r="CW22" s="245"/>
      <c r="CX22" s="245"/>
      <c r="CY22" s="245"/>
      <c r="CZ22" s="245"/>
      <c r="DA22" s="245"/>
      <c r="DB22" s="245"/>
      <c r="DC22" s="245"/>
      <c r="DD22" s="245"/>
      <c r="DE22" s="245"/>
      <c r="DF22" s="245"/>
      <c r="DG22" s="245"/>
      <c r="DH22" s="245"/>
      <c r="DI22" s="245"/>
      <c r="DJ22" s="245"/>
      <c r="DK22" s="245"/>
      <c r="DL22" s="245"/>
      <c r="DM22" s="245"/>
      <c r="DN22" s="245"/>
      <c r="DO22" s="245"/>
      <c r="DP22" s="245"/>
      <c r="DQ22" s="245"/>
      <c r="DR22" s="245"/>
      <c r="DS22" s="245"/>
      <c r="DT22" s="245"/>
      <c r="DU22" s="245"/>
      <c r="DV22" s="245"/>
      <c r="DW22" s="245"/>
      <c r="DX22" s="245"/>
      <c r="DY22" s="245"/>
      <c r="DZ22" s="245"/>
      <c r="EA22" s="245"/>
      <c r="EB22" s="245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</row>
    <row r="23" spans="1:161" s="3" customFormat="1" ht="8.1" customHeight="1">
      <c r="A23" s="157" t="s">
        <v>14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  <c r="BI23" s="157"/>
      <c r="BJ23" s="157"/>
      <c r="BK23" s="157"/>
      <c r="BL23" s="157"/>
      <c r="BM23" s="157"/>
      <c r="BN23" s="157"/>
      <c r="BO23" s="157"/>
      <c r="BP23" s="157"/>
      <c r="BQ23" s="157"/>
      <c r="BR23" s="157"/>
      <c r="BS23" s="157"/>
      <c r="BT23" s="157"/>
      <c r="BU23" s="157"/>
      <c r="BV23" s="157"/>
      <c r="BW23" s="157"/>
      <c r="BX23" s="157"/>
      <c r="BY23" s="157"/>
      <c r="BZ23" s="157"/>
      <c r="CA23" s="157"/>
      <c r="CB23" s="157"/>
      <c r="CC23" s="157"/>
      <c r="CD23" s="157"/>
      <c r="CE23" s="157"/>
      <c r="CF23" s="157"/>
      <c r="CG23" s="157"/>
      <c r="CH23" s="157"/>
      <c r="CI23" s="157"/>
      <c r="CJ23" s="157"/>
      <c r="CK23" s="157"/>
      <c r="CL23" s="157"/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C23" s="157"/>
      <c r="DD23" s="157"/>
      <c r="DE23" s="157"/>
      <c r="DF23" s="157"/>
      <c r="DG23" s="157"/>
      <c r="DH23" s="157"/>
      <c r="DI23" s="157"/>
      <c r="DJ23" s="157"/>
      <c r="DK23" s="157"/>
      <c r="DL23" s="157"/>
      <c r="DM23" s="157"/>
      <c r="DN23" s="157"/>
      <c r="DO23" s="157"/>
      <c r="DP23" s="157"/>
      <c r="DQ23" s="157"/>
      <c r="DR23" s="157"/>
      <c r="DS23" s="157"/>
      <c r="DT23" s="157"/>
      <c r="DU23" s="157"/>
      <c r="DV23" s="157"/>
      <c r="DW23" s="157"/>
      <c r="DX23" s="157"/>
      <c r="DY23" s="157"/>
      <c r="DZ23" s="157"/>
      <c r="EA23" s="157"/>
      <c r="EB23" s="157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</row>
    <row r="24" spans="1:161" ht="11.1" customHeight="1">
      <c r="A24" s="250" t="str">
        <f>+Itemdata_1.1!B18</f>
        <v xml:space="preserve"> </v>
      </c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1"/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1"/>
      <c r="BD24" s="251"/>
      <c r="BE24" s="251"/>
      <c r="BF24" s="251"/>
      <c r="BG24" s="251"/>
      <c r="BH24" s="251"/>
      <c r="BI24" s="251"/>
      <c r="BJ24" s="251"/>
      <c r="BK24" s="251"/>
      <c r="BL24" s="251"/>
      <c r="BM24" s="251"/>
      <c r="BN24" s="251"/>
      <c r="BO24" s="251"/>
      <c r="BP24" s="251"/>
      <c r="BQ24" s="251"/>
      <c r="BR24" s="251"/>
      <c r="BS24" s="251"/>
      <c r="BT24" s="251"/>
      <c r="BU24" s="251"/>
      <c r="BV24" s="251"/>
      <c r="BW24" s="251"/>
      <c r="BX24" s="251"/>
      <c r="BY24" s="251"/>
      <c r="BZ24" s="251"/>
      <c r="CA24" s="251"/>
      <c r="CB24" s="251"/>
      <c r="CC24" s="251"/>
      <c r="CD24" s="251"/>
      <c r="CE24" s="251"/>
      <c r="CF24" s="251"/>
      <c r="CG24" s="251"/>
      <c r="CH24" s="251"/>
      <c r="CI24" s="251"/>
      <c r="CJ24" s="251"/>
      <c r="CK24" s="251"/>
      <c r="CL24" s="251"/>
      <c r="CM24" s="251"/>
      <c r="CN24" s="251"/>
      <c r="CO24" s="251"/>
      <c r="CP24" s="251"/>
      <c r="CQ24" s="251"/>
      <c r="CR24" s="251"/>
      <c r="CS24" s="251"/>
      <c r="CT24" s="251"/>
      <c r="CU24" s="251"/>
      <c r="CV24" s="251"/>
      <c r="CW24" s="251"/>
      <c r="CX24" s="251"/>
      <c r="CY24" s="251"/>
      <c r="CZ24" s="251"/>
      <c r="DA24" s="251"/>
      <c r="DB24" s="251"/>
      <c r="DC24" s="251"/>
      <c r="DD24" s="251"/>
      <c r="DE24" s="251"/>
      <c r="DF24" s="251"/>
      <c r="DG24" s="251"/>
      <c r="DH24" s="251"/>
      <c r="DI24" s="251"/>
      <c r="DJ24" s="251"/>
      <c r="DK24" s="251"/>
      <c r="DL24" s="251"/>
      <c r="DM24" s="251"/>
      <c r="DN24" s="251"/>
      <c r="DO24" s="251"/>
      <c r="DP24" s="251"/>
      <c r="DQ24" s="251"/>
      <c r="DR24" s="251"/>
      <c r="DS24" s="251"/>
      <c r="DT24" s="251"/>
      <c r="DU24" s="251"/>
      <c r="DV24" s="251"/>
      <c r="DW24" s="251"/>
      <c r="DX24" s="251"/>
      <c r="DY24" s="251"/>
      <c r="DZ24" s="251"/>
      <c r="EA24" s="251"/>
      <c r="EB24" s="25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</row>
    <row r="25" spans="1:161" s="3" customFormat="1" ht="8.1" customHeight="1">
      <c r="A25" s="157" t="s">
        <v>15</v>
      </c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  <c r="BI25" s="157"/>
      <c r="BJ25" s="157"/>
      <c r="BK25" s="157"/>
      <c r="BL25" s="157"/>
      <c r="BM25" s="157"/>
      <c r="BN25" s="157"/>
      <c r="BO25" s="157"/>
      <c r="BP25" s="157"/>
      <c r="BQ25" s="157"/>
      <c r="BR25" s="157"/>
      <c r="BS25" s="157"/>
      <c r="BT25" s="157"/>
      <c r="BU25" s="157"/>
      <c r="BV25" s="157"/>
      <c r="BW25" s="157"/>
      <c r="BX25" s="157"/>
      <c r="BY25" s="157"/>
      <c r="BZ25" s="157"/>
      <c r="CA25" s="157"/>
      <c r="CB25" s="157"/>
      <c r="CC25" s="157"/>
      <c r="CD25" s="157"/>
      <c r="CE25" s="157"/>
      <c r="CF25" s="157"/>
      <c r="CG25" s="157"/>
      <c r="CH25" s="157"/>
      <c r="CI25" s="157"/>
      <c r="CJ25" s="157"/>
      <c r="CK25" s="157"/>
      <c r="CL25" s="157"/>
      <c r="CM25" s="157"/>
      <c r="CN25" s="157"/>
      <c r="CO25" s="157"/>
      <c r="CP25" s="157"/>
      <c r="CQ25" s="157"/>
      <c r="CR25" s="157"/>
      <c r="CS25" s="157"/>
      <c r="CT25" s="157"/>
      <c r="CU25" s="157"/>
      <c r="CV25" s="157"/>
      <c r="CW25" s="157"/>
      <c r="CX25" s="157"/>
      <c r="CY25" s="157"/>
      <c r="CZ25" s="157"/>
      <c r="DA25" s="157"/>
      <c r="DB25" s="157"/>
      <c r="DC25" s="157"/>
      <c r="DD25" s="157"/>
      <c r="DE25" s="157"/>
      <c r="DF25" s="157"/>
      <c r="DG25" s="157"/>
      <c r="DH25" s="157"/>
      <c r="DI25" s="157"/>
      <c r="DJ25" s="157"/>
      <c r="DK25" s="157"/>
      <c r="DL25" s="157"/>
      <c r="DM25" s="157"/>
      <c r="DN25" s="157"/>
      <c r="DO25" s="157"/>
      <c r="DP25" s="157"/>
      <c r="DQ25" s="157"/>
      <c r="DR25" s="157"/>
      <c r="DS25" s="157"/>
      <c r="DT25" s="157"/>
      <c r="DU25" s="157"/>
      <c r="DV25" s="157"/>
      <c r="DW25" s="157"/>
      <c r="DX25" s="157"/>
      <c r="DY25" s="157"/>
      <c r="DZ25" s="157"/>
      <c r="EA25" s="157"/>
      <c r="EB25" s="157"/>
      <c r="EP25" s="89"/>
      <c r="EQ25" s="89"/>
      <c r="ER25" s="89"/>
      <c r="ES25" s="89"/>
      <c r="ET25" s="89"/>
      <c r="EU25" s="89"/>
      <c r="EV25" s="89"/>
      <c r="EW25" s="89"/>
      <c r="EX25" s="89"/>
      <c r="EY25" s="89"/>
      <c r="EZ25" s="89"/>
      <c r="FA25" s="89"/>
      <c r="FB25" s="89"/>
      <c r="FC25" s="89"/>
      <c r="FD25" s="89"/>
      <c r="FE25" s="89"/>
    </row>
    <row r="26" spans="1:161" ht="11.1" customHeight="1">
      <c r="A26" s="197" t="str">
        <f>+Itemdata_1.1!B19</f>
        <v xml:space="preserve"> </v>
      </c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  <c r="AJ26" s="245"/>
      <c r="AK26" s="245"/>
      <c r="AL26" s="245"/>
      <c r="AM26" s="245"/>
      <c r="AN26" s="245"/>
      <c r="AO26" s="245"/>
      <c r="AP26" s="245"/>
      <c r="AQ26" s="245"/>
      <c r="AR26" s="245"/>
      <c r="AS26" s="245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5"/>
      <c r="BH26" s="245"/>
      <c r="BI26" s="245"/>
      <c r="BJ26" s="245"/>
      <c r="BK26" s="245"/>
      <c r="BL26" s="245"/>
      <c r="BM26" s="245"/>
      <c r="BN26" s="245"/>
      <c r="BO26" s="245"/>
      <c r="BP26" s="245"/>
      <c r="BQ26" s="245"/>
      <c r="BR26" s="245"/>
      <c r="BS26" s="245"/>
      <c r="BT26" s="245"/>
      <c r="BU26" s="245"/>
      <c r="BV26" s="245"/>
      <c r="BW26" s="245"/>
      <c r="BX26" s="245"/>
      <c r="BY26" s="245"/>
      <c r="BZ26" s="245"/>
      <c r="CA26" s="245"/>
      <c r="CB26" s="245"/>
      <c r="CC26" s="245"/>
      <c r="CD26" s="245"/>
      <c r="CE26" s="245"/>
      <c r="CF26" s="245"/>
      <c r="CG26" s="245"/>
      <c r="CH26" s="245"/>
      <c r="CI26" s="245"/>
      <c r="CJ26" s="245"/>
      <c r="CK26" s="245"/>
      <c r="CL26" s="245"/>
      <c r="CM26" s="245"/>
      <c r="CN26" s="245"/>
      <c r="CO26" s="245"/>
      <c r="CP26" s="245"/>
      <c r="CQ26" s="245"/>
      <c r="CR26" s="245"/>
      <c r="CS26" s="245"/>
      <c r="CT26" s="245"/>
      <c r="CU26" s="245"/>
      <c r="CV26" s="245"/>
      <c r="CW26" s="245"/>
      <c r="CX26" s="245"/>
      <c r="CY26" s="245"/>
      <c r="CZ26" s="245"/>
      <c r="DA26" s="245"/>
      <c r="DB26" s="245"/>
      <c r="DC26" s="245"/>
      <c r="DD26" s="245"/>
      <c r="DE26" s="245"/>
      <c r="DF26" s="245"/>
      <c r="DG26" s="245"/>
      <c r="DH26" s="245"/>
      <c r="DI26" s="245"/>
      <c r="DJ26" s="245"/>
      <c r="DK26" s="245"/>
      <c r="DL26" s="245"/>
      <c r="DM26" s="245"/>
      <c r="DN26" s="245"/>
      <c r="DO26" s="245"/>
      <c r="DP26" s="245"/>
      <c r="DQ26" s="245"/>
      <c r="DR26" s="245"/>
      <c r="DS26" s="245"/>
      <c r="DT26" s="245"/>
      <c r="DU26" s="245"/>
      <c r="DV26" s="245"/>
      <c r="DW26" s="245"/>
      <c r="DX26" s="245"/>
      <c r="DY26" s="245"/>
      <c r="DZ26" s="245"/>
      <c r="EA26" s="245"/>
      <c r="EB26" s="245"/>
      <c r="EP26" s="258" t="str">
        <f>Itemdata_1.1!C19</f>
        <v xml:space="preserve"> </v>
      </c>
      <c r="EQ26" s="259"/>
      <c r="ER26" s="259"/>
      <c r="ES26" s="259"/>
      <c r="ET26" s="259"/>
      <c r="EU26" s="259"/>
      <c r="EV26" s="259"/>
      <c r="EW26" s="259"/>
      <c r="EX26" s="259"/>
      <c r="EY26" s="259"/>
      <c r="EZ26" s="259"/>
      <c r="FA26" s="259"/>
      <c r="FB26" s="259"/>
      <c r="FC26" s="259"/>
      <c r="FD26" s="259"/>
      <c r="FE26" s="260"/>
    </row>
    <row r="27" spans="1:161" s="3" customFormat="1" ht="9" customHeight="1">
      <c r="A27" s="157" t="s">
        <v>16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7"/>
      <c r="BU27" s="157"/>
      <c r="BV27" s="157"/>
      <c r="BW27" s="157"/>
      <c r="BX27" s="157"/>
      <c r="BY27" s="157"/>
      <c r="BZ27" s="157"/>
      <c r="CA27" s="157"/>
      <c r="CB27" s="157"/>
      <c r="CC27" s="157"/>
      <c r="CD27" s="157"/>
      <c r="CE27" s="157"/>
      <c r="CF27" s="157"/>
      <c r="CG27" s="157"/>
      <c r="CH27" s="157"/>
      <c r="CI27" s="157"/>
      <c r="CJ27" s="157"/>
      <c r="CK27" s="157"/>
      <c r="CL27" s="157"/>
      <c r="CM27" s="157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C27" s="157"/>
      <c r="DD27" s="157"/>
      <c r="DE27" s="157"/>
      <c r="DF27" s="157"/>
      <c r="DG27" s="157"/>
      <c r="DH27" s="157"/>
      <c r="DI27" s="157"/>
      <c r="DJ27" s="157"/>
      <c r="DK27" s="157"/>
      <c r="DL27" s="157"/>
      <c r="DM27" s="157"/>
      <c r="DN27" s="157"/>
      <c r="DO27" s="157"/>
      <c r="DP27" s="157"/>
      <c r="DQ27" s="157"/>
      <c r="DR27" s="157"/>
      <c r="DS27" s="157"/>
      <c r="DT27" s="157"/>
      <c r="DU27" s="157"/>
      <c r="DV27" s="157"/>
      <c r="DW27" s="157"/>
      <c r="DX27" s="157"/>
      <c r="DY27" s="157"/>
      <c r="DZ27" s="157"/>
      <c r="EA27" s="157"/>
      <c r="EB27" s="267"/>
      <c r="EC27" s="204" t="s">
        <v>19</v>
      </c>
      <c r="ED27" s="205"/>
      <c r="EE27" s="205"/>
      <c r="EF27" s="205"/>
      <c r="EG27" s="205"/>
      <c r="EH27" s="205"/>
      <c r="EI27" s="205"/>
      <c r="EJ27" s="205"/>
      <c r="EK27" s="205"/>
      <c r="EL27" s="205"/>
      <c r="EM27" s="205"/>
      <c r="EN27" s="205"/>
      <c r="EO27" s="206"/>
      <c r="EP27" s="238" t="str">
        <f>+Itemdata_1.1!B28</f>
        <v xml:space="preserve"> </v>
      </c>
      <c r="EQ27" s="239"/>
      <c r="ER27" s="239"/>
      <c r="ES27" s="239"/>
      <c r="ET27" s="239"/>
      <c r="EU27" s="239"/>
      <c r="EV27" s="239"/>
      <c r="EW27" s="239"/>
      <c r="EX27" s="239"/>
      <c r="EY27" s="239"/>
      <c r="EZ27" s="239"/>
      <c r="FA27" s="239"/>
      <c r="FB27" s="239"/>
      <c r="FC27" s="239"/>
      <c r="FD27" s="239"/>
      <c r="FE27" s="240"/>
    </row>
    <row r="28" spans="1:161" ht="11.25" customHeight="1">
      <c r="A28" s="1" t="s">
        <v>18</v>
      </c>
      <c r="AF28" s="124" t="str">
        <f>+Itemdata_1.1!B27</f>
        <v xml:space="preserve"> </v>
      </c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  <c r="BL28" s="124"/>
      <c r="BM28" s="124"/>
      <c r="BN28" s="124"/>
      <c r="BO28" s="124"/>
      <c r="BP28" s="124"/>
      <c r="BQ28" s="124"/>
      <c r="BR28" s="124"/>
      <c r="BS28" s="124"/>
      <c r="BT28" s="124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212"/>
      <c r="EC28" s="207"/>
      <c r="ED28" s="208"/>
      <c r="EE28" s="208"/>
      <c r="EF28" s="208"/>
      <c r="EG28" s="208"/>
      <c r="EH28" s="208"/>
      <c r="EI28" s="208"/>
      <c r="EJ28" s="208"/>
      <c r="EK28" s="208"/>
      <c r="EL28" s="208"/>
      <c r="EM28" s="208"/>
      <c r="EN28" s="208"/>
      <c r="EO28" s="209"/>
      <c r="EP28" s="252" t="str">
        <f>+Itemdata_1.1!C28</f>
        <v xml:space="preserve"> </v>
      </c>
      <c r="EQ28" s="253"/>
      <c r="ER28" s="253"/>
      <c r="ES28" s="253"/>
      <c r="ET28" s="253"/>
      <c r="EU28" s="253"/>
      <c r="EV28" s="253"/>
      <c r="EW28" s="253"/>
      <c r="EX28" s="253"/>
      <c r="EY28" s="253"/>
      <c r="EZ28" s="253"/>
      <c r="FA28" s="253"/>
      <c r="FB28" s="253"/>
      <c r="FC28" s="253"/>
      <c r="FD28" s="253"/>
      <c r="FE28" s="254"/>
    </row>
    <row r="29" spans="1:161" s="3" customFormat="1" ht="9" customHeight="1">
      <c r="AG29" s="4"/>
      <c r="AH29" s="4"/>
      <c r="AI29" s="4"/>
      <c r="AJ29" s="4"/>
      <c r="AK29" s="4"/>
      <c r="AL29" s="4"/>
      <c r="AM29" s="4"/>
      <c r="AN29" s="4"/>
      <c r="AO29" s="4"/>
      <c r="AP29" s="4"/>
      <c r="AS29" s="16" t="s">
        <v>85</v>
      </c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204" t="s">
        <v>20</v>
      </c>
      <c r="ED29" s="205"/>
      <c r="EE29" s="205"/>
      <c r="EF29" s="205"/>
      <c r="EG29" s="205"/>
      <c r="EH29" s="205"/>
      <c r="EI29" s="205"/>
      <c r="EJ29" s="205"/>
      <c r="EK29" s="205"/>
      <c r="EL29" s="205"/>
      <c r="EM29" s="205"/>
      <c r="EN29" s="205"/>
      <c r="EO29" s="206"/>
      <c r="EP29" s="264" t="str">
        <f>+Itemdata_1.1!B29</f>
        <v xml:space="preserve"> </v>
      </c>
      <c r="EQ29" s="265"/>
      <c r="ER29" s="265"/>
      <c r="ES29" s="265"/>
      <c r="ET29" s="265"/>
      <c r="EU29" s="265"/>
      <c r="EV29" s="265"/>
      <c r="EW29" s="265"/>
      <c r="EX29" s="265"/>
      <c r="EY29" s="265"/>
      <c r="EZ29" s="265"/>
      <c r="FA29" s="265"/>
      <c r="FB29" s="265"/>
      <c r="FC29" s="265"/>
      <c r="FD29" s="265"/>
      <c r="FE29" s="266"/>
    </row>
    <row r="30" spans="1:161" ht="9" customHeight="1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24"/>
      <c r="BK30" s="124"/>
      <c r="BL30" s="124"/>
      <c r="BM30" s="124"/>
      <c r="BN30" s="124"/>
      <c r="BO30" s="124"/>
      <c r="BP30" s="124"/>
      <c r="BQ30" s="124"/>
      <c r="BR30" s="124"/>
      <c r="BS30" s="124"/>
      <c r="BT30" s="124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212"/>
      <c r="EC30" s="207"/>
      <c r="ED30" s="208"/>
      <c r="EE30" s="208"/>
      <c r="EF30" s="208"/>
      <c r="EG30" s="208"/>
      <c r="EH30" s="208"/>
      <c r="EI30" s="208"/>
      <c r="EJ30" s="208"/>
      <c r="EK30" s="208"/>
      <c r="EL30" s="208"/>
      <c r="EM30" s="208"/>
      <c r="EN30" s="208"/>
      <c r="EO30" s="209"/>
      <c r="EP30" s="255" t="str">
        <f>+Itemdata_1.1!C29</f>
        <v xml:space="preserve"> </v>
      </c>
      <c r="EQ30" s="256"/>
      <c r="ER30" s="256"/>
      <c r="ES30" s="256"/>
      <c r="ET30" s="256"/>
      <c r="EU30" s="256"/>
      <c r="EV30" s="256"/>
      <c r="EW30" s="256"/>
      <c r="EX30" s="256"/>
      <c r="EY30" s="256"/>
      <c r="EZ30" s="256"/>
      <c r="FA30" s="256"/>
      <c r="FB30" s="256"/>
      <c r="FC30" s="256"/>
      <c r="FD30" s="256"/>
      <c r="FE30" s="257"/>
    </row>
    <row r="31" spans="1:161" ht="11.1" customHeight="1">
      <c r="A31" s="210"/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0"/>
      <c r="AI31" s="210"/>
      <c r="AJ31" s="210"/>
      <c r="AK31" s="210"/>
      <c r="AL31" s="210"/>
      <c r="AM31" s="210"/>
      <c r="AN31" s="210"/>
      <c r="AO31" s="210"/>
      <c r="AP31" s="210"/>
      <c r="AQ31" s="210"/>
      <c r="AR31" s="210"/>
      <c r="AS31" s="210"/>
      <c r="AT31" s="210"/>
      <c r="AU31" s="210"/>
      <c r="AV31" s="210"/>
      <c r="AW31" s="210"/>
      <c r="AX31" s="210"/>
      <c r="AY31" s="210"/>
      <c r="AZ31" s="210"/>
      <c r="BA31" s="210"/>
      <c r="BB31" s="210"/>
      <c r="BC31" s="210"/>
      <c r="BD31" s="210"/>
      <c r="BE31" s="210"/>
      <c r="BF31" s="210"/>
      <c r="BG31" s="210"/>
      <c r="BH31" s="210"/>
      <c r="BI31" s="210"/>
      <c r="BJ31" s="210"/>
      <c r="BK31" s="210"/>
      <c r="BL31" s="210"/>
      <c r="BM31" s="210"/>
      <c r="BN31" s="210"/>
      <c r="BO31" s="210"/>
      <c r="BP31" s="210"/>
      <c r="BQ31" s="210"/>
      <c r="BR31" s="210"/>
      <c r="BS31" s="210"/>
      <c r="BT31" s="210"/>
      <c r="BU31" s="210"/>
      <c r="BV31" s="210"/>
      <c r="BW31" s="210"/>
      <c r="BX31" s="210"/>
      <c r="BY31" s="210"/>
      <c r="BZ31" s="210"/>
      <c r="CA31" s="210"/>
      <c r="CB31" s="210"/>
      <c r="CC31" s="210"/>
      <c r="CD31" s="210"/>
      <c r="CE31" s="210"/>
      <c r="CF31" s="210"/>
      <c r="CG31" s="210"/>
      <c r="CH31" s="210"/>
      <c r="CI31" s="210"/>
      <c r="CJ31" s="210"/>
      <c r="CK31" s="210"/>
      <c r="CL31" s="210"/>
      <c r="CM31" s="210"/>
      <c r="CN31" s="211"/>
      <c r="CO31" s="268" t="s">
        <v>23</v>
      </c>
      <c r="CP31" s="151"/>
      <c r="CQ31" s="151"/>
      <c r="CR31" s="151"/>
      <c r="CS31" s="151"/>
      <c r="CT31" s="151"/>
      <c r="CU31" s="151"/>
      <c r="CV31" s="151"/>
      <c r="CW31" s="151"/>
      <c r="CX31" s="151"/>
      <c r="CY31" s="151"/>
      <c r="CZ31" s="151"/>
      <c r="DA31" s="151"/>
      <c r="DB31" s="269"/>
      <c r="DC31" s="90" t="s">
        <v>21</v>
      </c>
      <c r="DD31" s="91"/>
      <c r="DE31" s="91"/>
      <c r="DF31" s="91"/>
      <c r="DG31" s="91"/>
      <c r="DH31" s="91"/>
      <c r="DI31" s="91"/>
      <c r="DJ31" s="91"/>
      <c r="DK31" s="91"/>
      <c r="DL31" s="91"/>
      <c r="DM31" s="91"/>
      <c r="DN31" s="91"/>
      <c r="DO31" s="91"/>
      <c r="DP31" s="91"/>
      <c r="DQ31" s="91"/>
      <c r="DR31" s="91"/>
      <c r="DS31" s="91"/>
      <c r="DT31" s="91"/>
      <c r="DU31" s="91"/>
      <c r="DV31" s="91"/>
      <c r="DW31" s="91"/>
      <c r="DX31" s="91"/>
      <c r="DY31" s="91"/>
      <c r="DZ31" s="91"/>
      <c r="EA31" s="91"/>
      <c r="EB31" s="91"/>
      <c r="EC31" s="91"/>
      <c r="ED31" s="91"/>
      <c r="EE31" s="91"/>
      <c r="EF31" s="91"/>
      <c r="EG31" s="91"/>
      <c r="EH31" s="91"/>
      <c r="EI31" s="91"/>
      <c r="EJ31" s="91"/>
      <c r="EK31" s="91"/>
      <c r="EL31" s="91"/>
      <c r="EM31" s="91"/>
      <c r="EN31" s="91"/>
      <c r="EO31" s="92"/>
      <c r="EP31" s="234" t="str">
        <f>IF(Itemdata_1.1!B30&gt;0,Itemdata_1.1!B30,"")</f>
        <v>02.10.2006</v>
      </c>
      <c r="EQ31" s="235"/>
      <c r="ER31" s="235"/>
      <c r="ES31" s="235"/>
      <c r="ET31" s="235"/>
      <c r="EU31" s="235"/>
      <c r="EV31" s="235"/>
      <c r="EW31" s="235"/>
      <c r="EX31" s="235"/>
      <c r="EY31" s="235"/>
      <c r="EZ31" s="235"/>
      <c r="FA31" s="235"/>
      <c r="FB31" s="235"/>
      <c r="FC31" s="235"/>
      <c r="FD31" s="235"/>
      <c r="FE31" s="236"/>
    </row>
    <row r="32" spans="1:161" ht="11.1" customHeight="1">
      <c r="A32" s="210"/>
      <c r="B32" s="210"/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210"/>
      <c r="AU32" s="210"/>
      <c r="AV32" s="210"/>
      <c r="AW32" s="210"/>
      <c r="AX32" s="210"/>
      <c r="AY32" s="210"/>
      <c r="AZ32" s="210"/>
      <c r="BA32" s="210"/>
      <c r="BB32" s="210"/>
      <c r="BC32" s="210"/>
      <c r="BD32" s="210"/>
      <c r="BE32" s="210"/>
      <c r="BF32" s="210"/>
      <c r="BG32" s="210"/>
      <c r="BH32" s="210"/>
      <c r="BI32" s="210"/>
      <c r="BJ32" s="210"/>
      <c r="BK32" s="210"/>
      <c r="BL32" s="210"/>
      <c r="BM32" s="210"/>
      <c r="BN32" s="210"/>
      <c r="BO32" s="210"/>
      <c r="BP32" s="210"/>
      <c r="BQ32" s="210"/>
      <c r="BR32" s="210"/>
      <c r="BS32" s="210"/>
      <c r="BT32" s="210"/>
      <c r="BU32" s="210"/>
      <c r="BV32" s="210"/>
      <c r="BW32" s="210"/>
      <c r="BX32" s="210"/>
      <c r="BY32" s="210"/>
      <c r="BZ32" s="210"/>
      <c r="CA32" s="210"/>
      <c r="CB32" s="210"/>
      <c r="CC32" s="210"/>
      <c r="CD32" s="210"/>
      <c r="CE32" s="210"/>
      <c r="CF32" s="210"/>
      <c r="CG32" s="210"/>
      <c r="CH32" s="210"/>
      <c r="CI32" s="210"/>
      <c r="CJ32" s="210"/>
      <c r="CK32" s="210"/>
      <c r="CL32" s="210"/>
      <c r="CM32" s="210"/>
      <c r="CN32" s="211"/>
      <c r="CO32" s="270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212"/>
      <c r="DC32" s="90" t="s">
        <v>22</v>
      </c>
      <c r="DD32" s="91"/>
      <c r="DE32" s="91"/>
      <c r="DF32" s="91"/>
      <c r="DG32" s="91"/>
      <c r="DH32" s="91"/>
      <c r="DI32" s="91"/>
      <c r="DJ32" s="91"/>
      <c r="DK32" s="91"/>
      <c r="DL32" s="91"/>
      <c r="DM32" s="91"/>
      <c r="DN32" s="91"/>
      <c r="DO32" s="91"/>
      <c r="DP32" s="91"/>
      <c r="DQ32" s="91"/>
      <c r="DR32" s="91"/>
      <c r="DS32" s="91"/>
      <c r="DT32" s="91"/>
      <c r="DU32" s="91"/>
      <c r="DV32" s="91"/>
      <c r="DW32" s="91"/>
      <c r="DX32" s="91"/>
      <c r="DY32" s="91"/>
      <c r="DZ32" s="91"/>
      <c r="EA32" s="91"/>
      <c r="EB32" s="91"/>
      <c r="EC32" s="91"/>
      <c r="ED32" s="91"/>
      <c r="EE32" s="91"/>
      <c r="EF32" s="91"/>
      <c r="EG32" s="91"/>
      <c r="EH32" s="91"/>
      <c r="EI32" s="91"/>
      <c r="EJ32" s="91"/>
      <c r="EK32" s="91"/>
      <c r="EL32" s="91"/>
      <c r="EM32" s="91"/>
      <c r="EN32" s="91"/>
      <c r="EO32" s="92"/>
      <c r="EP32" s="261" t="str">
        <f>+Itemdata_1.1!B31</f>
        <v xml:space="preserve"> </v>
      </c>
      <c r="EQ32" s="262"/>
      <c r="ER32" s="262"/>
      <c r="ES32" s="262"/>
      <c r="ET32" s="262"/>
      <c r="EU32" s="262"/>
      <c r="EV32" s="262"/>
      <c r="EW32" s="262"/>
      <c r="EX32" s="262"/>
      <c r="EY32" s="262"/>
      <c r="EZ32" s="262"/>
      <c r="FA32" s="262"/>
      <c r="FB32" s="262"/>
      <c r="FC32" s="262"/>
      <c r="FD32" s="262"/>
      <c r="FE32" s="263"/>
    </row>
    <row r="33" spans="1:161" ht="11.1" customHeight="1"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1" t="s">
        <v>24</v>
      </c>
      <c r="EO33" s="20"/>
      <c r="EP33" s="237" t="str">
        <f>+Itemdata_1.1!B32</f>
        <v>01 04 100100</v>
      </c>
      <c r="EQ33" s="217"/>
      <c r="ER33" s="217"/>
      <c r="ES33" s="217"/>
      <c r="ET33" s="217"/>
      <c r="EU33" s="217"/>
      <c r="EV33" s="217"/>
      <c r="EW33" s="217"/>
      <c r="EX33" s="217"/>
      <c r="EY33" s="217"/>
      <c r="EZ33" s="217"/>
      <c r="FA33" s="217"/>
      <c r="FB33" s="217"/>
      <c r="FC33" s="217"/>
      <c r="FD33" s="217"/>
      <c r="FE33" s="218"/>
    </row>
    <row r="34" spans="1:161" ht="11.1" customHeight="1">
      <c r="AZ34" s="281" t="s">
        <v>27</v>
      </c>
      <c r="BA34" s="281"/>
      <c r="BB34" s="281"/>
      <c r="BC34" s="281"/>
      <c r="BD34" s="281"/>
      <c r="BE34" s="281"/>
      <c r="BF34" s="281"/>
      <c r="BG34" s="281"/>
      <c r="BH34" s="281"/>
      <c r="BI34" s="281"/>
      <c r="BJ34" s="281"/>
      <c r="BL34" s="118" t="s">
        <v>26</v>
      </c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20"/>
      <c r="CE34" s="118" t="s">
        <v>61</v>
      </c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  <c r="CU34" s="119"/>
      <c r="CV34" s="119"/>
      <c r="CW34" s="1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F34" s="20"/>
      <c r="EG34" s="20"/>
      <c r="EH34" s="20"/>
      <c r="EI34" s="20"/>
      <c r="EJ34" s="20"/>
      <c r="EK34" s="20"/>
      <c r="EL34" s="20"/>
      <c r="EM34" s="20"/>
      <c r="EN34" s="21" t="s">
        <v>25</v>
      </c>
      <c r="EO34" s="20"/>
      <c r="EP34" s="237" t="str">
        <f>+Itemdata_1.1!B33</f>
        <v>14 3020201</v>
      </c>
      <c r="EQ34" s="217"/>
      <c r="ER34" s="217"/>
      <c r="ES34" s="217"/>
      <c r="ET34" s="217"/>
      <c r="EU34" s="217"/>
      <c r="EV34" s="217"/>
      <c r="EW34" s="217"/>
      <c r="EX34" s="217"/>
      <c r="EY34" s="217"/>
      <c r="EZ34" s="217"/>
      <c r="FA34" s="217"/>
      <c r="FB34" s="217"/>
      <c r="FC34" s="217"/>
      <c r="FD34" s="217"/>
      <c r="FE34" s="218"/>
    </row>
    <row r="35" spans="1:161" ht="11.1" customHeight="1">
      <c r="AZ35" s="281"/>
      <c r="BA35" s="281"/>
      <c r="BB35" s="281"/>
      <c r="BC35" s="281"/>
      <c r="BD35" s="281"/>
      <c r="BE35" s="281"/>
      <c r="BF35" s="281"/>
      <c r="BG35" s="281"/>
      <c r="BH35" s="281"/>
      <c r="BI35" s="281"/>
      <c r="BJ35" s="281"/>
      <c r="BL35" s="273" t="str">
        <f>+Itemdata_1.1!B42</f>
        <v>140000000062</v>
      </c>
      <c r="BM35" s="274"/>
      <c r="BN35" s="274"/>
      <c r="BO35" s="274"/>
      <c r="BP35" s="274"/>
      <c r="BQ35" s="274"/>
      <c r="BR35" s="274"/>
      <c r="BS35" s="274"/>
      <c r="BT35" s="274"/>
      <c r="BU35" s="274"/>
      <c r="BV35" s="274"/>
      <c r="BW35" s="274"/>
      <c r="BX35" s="274"/>
      <c r="BY35" s="274"/>
      <c r="BZ35" s="274"/>
      <c r="CA35" s="274"/>
      <c r="CB35" s="274"/>
      <c r="CC35" s="274"/>
      <c r="CD35" s="275"/>
      <c r="CE35" s="213" t="str">
        <f>IF(Itemdata_1.1!B30&gt;0,Itemdata_1.1!B30,"")</f>
        <v>02.10.2006</v>
      </c>
      <c r="CF35" s="214"/>
      <c r="CG35" s="214"/>
      <c r="CH35" s="214"/>
      <c r="CI35" s="214"/>
      <c r="CJ35" s="214"/>
      <c r="CK35" s="214"/>
      <c r="CL35" s="214"/>
      <c r="CM35" s="214"/>
      <c r="CN35" s="214"/>
      <c r="CO35" s="214"/>
      <c r="CP35" s="214"/>
      <c r="CQ35" s="214"/>
      <c r="CR35" s="214"/>
      <c r="CS35" s="214"/>
      <c r="CT35" s="214"/>
      <c r="CU35" s="214"/>
      <c r="CV35" s="214"/>
      <c r="CW35" s="215"/>
      <c r="DC35" s="219" t="s">
        <v>30</v>
      </c>
      <c r="DD35" s="220"/>
      <c r="DE35" s="220"/>
      <c r="DF35" s="220"/>
      <c r="DG35" s="220"/>
      <c r="DH35" s="220"/>
      <c r="DI35" s="220"/>
      <c r="DJ35" s="220"/>
      <c r="DK35" s="220"/>
      <c r="DL35" s="221"/>
      <c r="DM35" s="90" t="s">
        <v>28</v>
      </c>
      <c r="DN35" s="91"/>
      <c r="DO35" s="91"/>
      <c r="DP35" s="91"/>
      <c r="DQ35" s="91"/>
      <c r="DR35" s="91"/>
      <c r="DS35" s="91"/>
      <c r="DT35" s="91"/>
      <c r="DU35" s="91"/>
      <c r="DV35" s="91"/>
      <c r="DW35" s="91"/>
      <c r="DX35" s="91"/>
      <c r="DY35" s="91"/>
      <c r="DZ35" s="91"/>
      <c r="EA35" s="91"/>
      <c r="EB35" s="91"/>
      <c r="EC35" s="91"/>
      <c r="ED35" s="91"/>
      <c r="EE35" s="91"/>
      <c r="EF35" s="91"/>
      <c r="EG35" s="91"/>
      <c r="EH35" s="91"/>
      <c r="EI35" s="91"/>
      <c r="EJ35" s="91"/>
      <c r="EK35" s="91"/>
      <c r="EL35" s="91"/>
      <c r="EM35" s="91"/>
      <c r="EN35" s="91"/>
      <c r="EO35" s="92"/>
      <c r="EP35" s="216" t="str">
        <f>+Itemdata_1.1!B34</f>
        <v>03</v>
      </c>
      <c r="EQ35" s="217"/>
      <c r="ER35" s="217"/>
      <c r="ES35" s="217"/>
      <c r="ET35" s="217"/>
      <c r="EU35" s="217"/>
      <c r="EV35" s="217"/>
      <c r="EW35" s="217"/>
      <c r="EX35" s="217"/>
      <c r="EY35" s="217"/>
      <c r="EZ35" s="217"/>
      <c r="FA35" s="217"/>
      <c r="FB35" s="217"/>
      <c r="FC35" s="217"/>
      <c r="FD35" s="217"/>
      <c r="FE35" s="218"/>
    </row>
    <row r="36" spans="1:161" ht="11.1" customHeight="1">
      <c r="AB36" s="278" t="s">
        <v>68</v>
      </c>
      <c r="AC36" s="278"/>
      <c r="AD36" s="278"/>
      <c r="AE36" s="278"/>
      <c r="AF36" s="278"/>
      <c r="AG36" s="278"/>
      <c r="AH36" s="278"/>
      <c r="AI36" s="278"/>
      <c r="AJ36" s="278"/>
      <c r="AK36" s="278"/>
      <c r="AL36" s="278"/>
      <c r="AM36" s="278"/>
      <c r="AN36" s="278"/>
      <c r="AO36" s="278"/>
      <c r="AP36" s="278"/>
      <c r="AQ36" s="278"/>
      <c r="AR36" s="278"/>
      <c r="AS36" s="278"/>
      <c r="AT36" s="278"/>
      <c r="AU36" s="278"/>
      <c r="AV36" s="278"/>
      <c r="AW36" s="278"/>
      <c r="AX36" s="278"/>
      <c r="AY36" s="278"/>
      <c r="AZ36" s="278"/>
      <c r="BA36" s="278"/>
      <c r="BB36" s="278"/>
      <c r="BC36" s="278"/>
      <c r="BD36" s="278"/>
      <c r="BE36" s="278"/>
      <c r="BF36" s="278"/>
      <c r="BG36" s="278"/>
      <c r="BH36" s="278"/>
      <c r="BI36" s="278"/>
      <c r="BJ36" s="278"/>
      <c r="BK36" s="278"/>
      <c r="BL36" s="278"/>
      <c r="BM36" s="278"/>
      <c r="BN36" s="278"/>
      <c r="BO36" s="278"/>
      <c r="BP36" s="278"/>
      <c r="BQ36" s="278"/>
      <c r="BR36" s="278"/>
      <c r="BS36" s="278"/>
      <c r="BT36" s="278"/>
      <c r="BU36" s="278"/>
      <c r="BV36" s="278"/>
      <c r="BW36" s="278"/>
      <c r="BX36" s="278"/>
      <c r="BY36" s="278"/>
      <c r="BZ36" s="278"/>
      <c r="CA36" s="278"/>
      <c r="CB36" s="278"/>
      <c r="CC36" s="278"/>
      <c r="CD36" s="278"/>
      <c r="CE36" s="278"/>
      <c r="CF36" s="278"/>
      <c r="CG36" s="278"/>
      <c r="CH36" s="278"/>
      <c r="CI36" s="278"/>
      <c r="CJ36" s="278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DC36" s="222"/>
      <c r="DD36" s="223"/>
      <c r="DE36" s="223"/>
      <c r="DF36" s="223"/>
      <c r="DG36" s="223"/>
      <c r="DH36" s="223"/>
      <c r="DI36" s="223"/>
      <c r="DJ36" s="223"/>
      <c r="DK36" s="223"/>
      <c r="DL36" s="224"/>
      <c r="DM36" s="90" t="s">
        <v>29</v>
      </c>
      <c r="DN36" s="91"/>
      <c r="DO36" s="91"/>
      <c r="DP36" s="91"/>
      <c r="DQ36" s="91"/>
      <c r="DR36" s="91"/>
      <c r="DS36" s="91"/>
      <c r="DT36" s="91"/>
      <c r="DU36" s="91"/>
      <c r="DV36" s="91"/>
      <c r="DW36" s="91"/>
      <c r="DX36" s="91"/>
      <c r="DY36" s="91"/>
      <c r="DZ36" s="91"/>
      <c r="EA36" s="91"/>
      <c r="EB36" s="91"/>
      <c r="EC36" s="91"/>
      <c r="ED36" s="91"/>
      <c r="EE36" s="91"/>
      <c r="EF36" s="91"/>
      <c r="EG36" s="91"/>
      <c r="EH36" s="91"/>
      <c r="EI36" s="91"/>
      <c r="EJ36" s="91"/>
      <c r="EK36" s="91"/>
      <c r="EL36" s="91"/>
      <c r="EM36" s="91"/>
      <c r="EN36" s="91"/>
      <c r="EO36" s="92"/>
      <c r="EP36" s="228" t="str">
        <f>+Itemdata_1.1!B35</f>
        <v>000000000001236</v>
      </c>
      <c r="EQ36" s="229"/>
      <c r="ER36" s="229"/>
      <c r="ES36" s="229"/>
      <c r="ET36" s="229"/>
      <c r="EU36" s="229"/>
      <c r="EV36" s="229"/>
      <c r="EW36" s="229"/>
      <c r="EX36" s="229"/>
      <c r="EY36" s="229"/>
      <c r="EZ36" s="229"/>
      <c r="FA36" s="229"/>
      <c r="FB36" s="229"/>
      <c r="FC36" s="229"/>
      <c r="FD36" s="229"/>
      <c r="FE36" s="230"/>
    </row>
    <row r="37" spans="1:161" ht="11.1" customHeight="1">
      <c r="AB37" s="278"/>
      <c r="AC37" s="278"/>
      <c r="AD37" s="278"/>
      <c r="AE37" s="278"/>
      <c r="AF37" s="278"/>
      <c r="AG37" s="278"/>
      <c r="AH37" s="278"/>
      <c r="AI37" s="278"/>
      <c r="AJ37" s="278"/>
      <c r="AK37" s="278"/>
      <c r="AL37" s="278"/>
      <c r="AM37" s="278"/>
      <c r="AN37" s="278"/>
      <c r="AO37" s="278"/>
      <c r="AP37" s="278"/>
      <c r="AQ37" s="278"/>
      <c r="AR37" s="278"/>
      <c r="AS37" s="278"/>
      <c r="AT37" s="278"/>
      <c r="AU37" s="278"/>
      <c r="AV37" s="278"/>
      <c r="AW37" s="278"/>
      <c r="AX37" s="278"/>
      <c r="AY37" s="278"/>
      <c r="AZ37" s="278"/>
      <c r="BA37" s="278"/>
      <c r="BB37" s="278"/>
      <c r="BC37" s="278"/>
      <c r="BD37" s="278"/>
      <c r="BE37" s="278"/>
      <c r="BF37" s="278"/>
      <c r="BG37" s="278"/>
      <c r="BH37" s="278"/>
      <c r="BI37" s="278"/>
      <c r="BJ37" s="278"/>
      <c r="BK37" s="278"/>
      <c r="BL37" s="278"/>
      <c r="BM37" s="278"/>
      <c r="BN37" s="278"/>
      <c r="BO37" s="278"/>
      <c r="BP37" s="278"/>
      <c r="BQ37" s="278"/>
      <c r="BR37" s="278"/>
      <c r="BS37" s="278"/>
      <c r="BT37" s="278"/>
      <c r="BU37" s="278"/>
      <c r="BV37" s="278"/>
      <c r="BW37" s="278"/>
      <c r="BX37" s="278"/>
      <c r="BY37" s="278"/>
      <c r="BZ37" s="278"/>
      <c r="CA37" s="278"/>
      <c r="CB37" s="278"/>
      <c r="CC37" s="278"/>
      <c r="CD37" s="278"/>
      <c r="CE37" s="278"/>
      <c r="CF37" s="278"/>
      <c r="CG37" s="278"/>
      <c r="CH37" s="278"/>
      <c r="CI37" s="278"/>
      <c r="CJ37" s="278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DC37" s="225"/>
      <c r="DD37" s="226"/>
      <c r="DE37" s="226"/>
      <c r="DF37" s="226"/>
      <c r="DG37" s="226"/>
      <c r="DH37" s="226"/>
      <c r="DI37" s="226"/>
      <c r="DJ37" s="226"/>
      <c r="DK37" s="226"/>
      <c r="DL37" s="227"/>
      <c r="DM37" s="90" t="s">
        <v>67</v>
      </c>
      <c r="DN37" s="91"/>
      <c r="DO37" s="91"/>
      <c r="DP37" s="91"/>
      <c r="DQ37" s="91"/>
      <c r="DR37" s="91"/>
      <c r="DS37" s="91"/>
      <c r="DT37" s="91"/>
      <c r="DU37" s="91"/>
      <c r="DV37" s="91"/>
      <c r="DW37" s="91"/>
      <c r="DX37" s="91"/>
      <c r="DY37" s="91"/>
      <c r="DZ37" s="91"/>
      <c r="EA37" s="91"/>
      <c r="EB37" s="91"/>
      <c r="EC37" s="91"/>
      <c r="ED37" s="91"/>
      <c r="EE37" s="91"/>
      <c r="EF37" s="91"/>
      <c r="EG37" s="91"/>
      <c r="EH37" s="91"/>
      <c r="EI37" s="91"/>
      <c r="EJ37" s="91"/>
      <c r="EK37" s="91"/>
      <c r="EL37" s="91"/>
      <c r="EM37" s="91"/>
      <c r="EN37" s="91"/>
      <c r="EO37" s="92"/>
      <c r="EP37" s="231" t="str">
        <f>+Itemdata_1.1!B36</f>
        <v xml:space="preserve"> </v>
      </c>
      <c r="EQ37" s="232"/>
      <c r="ER37" s="232"/>
      <c r="ES37" s="232"/>
      <c r="ET37" s="232"/>
      <c r="EU37" s="232"/>
      <c r="EV37" s="232"/>
      <c r="EW37" s="232"/>
      <c r="EX37" s="232"/>
      <c r="EY37" s="232"/>
      <c r="EZ37" s="232"/>
      <c r="FA37" s="232"/>
      <c r="FB37" s="232"/>
      <c r="FC37" s="232"/>
      <c r="FD37" s="232"/>
      <c r="FE37" s="233"/>
    </row>
    <row r="38" spans="1:161" ht="11.1" customHeight="1">
      <c r="AB38" s="278"/>
      <c r="AC38" s="278"/>
      <c r="AD38" s="278"/>
      <c r="AE38" s="278"/>
      <c r="AF38" s="278"/>
      <c r="AG38" s="278"/>
      <c r="AH38" s="278"/>
      <c r="AI38" s="278"/>
      <c r="AJ38" s="278"/>
      <c r="AK38" s="278"/>
      <c r="AL38" s="278"/>
      <c r="AM38" s="278"/>
      <c r="AN38" s="278"/>
      <c r="AO38" s="278"/>
      <c r="AP38" s="278"/>
      <c r="AQ38" s="278"/>
      <c r="AR38" s="278"/>
      <c r="AS38" s="278"/>
      <c r="AT38" s="278"/>
      <c r="AU38" s="278"/>
      <c r="AV38" s="278"/>
      <c r="AW38" s="278"/>
      <c r="AX38" s="278"/>
      <c r="AY38" s="278"/>
      <c r="AZ38" s="278"/>
      <c r="BA38" s="278"/>
      <c r="BB38" s="278"/>
      <c r="BC38" s="278"/>
      <c r="BD38" s="278"/>
      <c r="BE38" s="278"/>
      <c r="BF38" s="278"/>
      <c r="BG38" s="278"/>
      <c r="BH38" s="278"/>
      <c r="BI38" s="278"/>
      <c r="BJ38" s="278"/>
      <c r="BK38" s="278"/>
      <c r="BL38" s="278"/>
      <c r="BM38" s="278"/>
      <c r="BN38" s="278"/>
      <c r="BO38" s="278"/>
      <c r="BP38" s="278"/>
      <c r="BQ38" s="278"/>
      <c r="BR38" s="278"/>
      <c r="BS38" s="278"/>
      <c r="BT38" s="278"/>
      <c r="BU38" s="278"/>
      <c r="BV38" s="278"/>
      <c r="BW38" s="278"/>
      <c r="BX38" s="278"/>
      <c r="BY38" s="278"/>
      <c r="BZ38" s="278"/>
      <c r="CA38" s="278"/>
      <c r="CB38" s="278"/>
      <c r="CC38" s="278"/>
      <c r="CD38" s="278"/>
      <c r="CE38" s="278"/>
      <c r="CF38" s="278"/>
      <c r="CG38" s="278"/>
      <c r="CH38" s="278"/>
      <c r="CI38" s="278"/>
      <c r="CJ38" s="278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DM38" s="90" t="s">
        <v>384</v>
      </c>
      <c r="DN38" s="91"/>
      <c r="DO38" s="91"/>
      <c r="DP38" s="91"/>
      <c r="DQ38" s="91"/>
      <c r="DR38" s="91"/>
      <c r="DS38" s="91"/>
      <c r="DT38" s="91"/>
      <c r="DU38" s="91"/>
      <c r="DV38" s="91"/>
      <c r="DW38" s="91"/>
      <c r="DX38" s="91"/>
      <c r="DY38" s="91"/>
      <c r="DZ38" s="91"/>
      <c r="EA38" s="91"/>
      <c r="EB38" s="91"/>
      <c r="EC38" s="91"/>
      <c r="ED38" s="91"/>
      <c r="EE38" s="91"/>
      <c r="EF38" s="91"/>
      <c r="EG38" s="91"/>
      <c r="EH38" s="91"/>
      <c r="EI38" s="91"/>
      <c r="EJ38" s="91"/>
      <c r="EK38" s="91"/>
      <c r="EL38" s="91"/>
      <c r="EM38" s="91"/>
      <c r="EN38" s="91"/>
      <c r="EO38" s="92"/>
      <c r="EP38" s="105" t="str">
        <f>+Itemdata_1.1!B49</f>
        <v>N3501400000000620000</v>
      </c>
      <c r="EQ38" s="106"/>
      <c r="ER38" s="106"/>
      <c r="ES38" s="106"/>
      <c r="ET38" s="106"/>
      <c r="EU38" s="106"/>
      <c r="EV38" s="106"/>
      <c r="EW38" s="106"/>
      <c r="EX38" s="106"/>
      <c r="EY38" s="106"/>
      <c r="EZ38" s="106"/>
      <c r="FA38" s="106"/>
      <c r="FB38" s="106"/>
      <c r="FC38" s="106"/>
      <c r="FD38" s="106"/>
      <c r="FE38" s="107"/>
    </row>
    <row r="39" spans="1:161" ht="11.1" customHeight="1">
      <c r="DM39" s="22"/>
      <c r="DN39" s="108" t="s">
        <v>39</v>
      </c>
      <c r="DO39" s="108"/>
      <c r="DP39" s="108"/>
      <c r="DQ39" s="108"/>
      <c r="DR39" s="108"/>
      <c r="DS39" s="108"/>
      <c r="DT39" s="108"/>
      <c r="DU39" s="108"/>
      <c r="DV39" s="108"/>
      <c r="DW39" s="108"/>
      <c r="DX39" s="108"/>
      <c r="DY39" s="108"/>
      <c r="DZ39" s="108"/>
      <c r="EA39" s="108"/>
      <c r="EB39" s="108"/>
      <c r="EC39" s="108"/>
      <c r="ED39" s="108"/>
      <c r="EE39" s="109"/>
      <c r="EF39" s="93" t="s">
        <v>19</v>
      </c>
      <c r="EG39" s="94"/>
      <c r="EH39" s="94"/>
      <c r="EI39" s="94"/>
      <c r="EJ39" s="94"/>
      <c r="EK39" s="94"/>
      <c r="EL39" s="94"/>
      <c r="EM39" s="94"/>
      <c r="EN39" s="94"/>
      <c r="EO39" s="95"/>
      <c r="EP39" s="96"/>
      <c r="EQ39" s="97"/>
      <c r="ER39" s="97"/>
      <c r="ES39" s="97"/>
      <c r="ET39" s="97"/>
      <c r="EU39" s="97"/>
      <c r="EV39" s="97"/>
      <c r="EW39" s="97"/>
      <c r="EX39" s="97"/>
      <c r="EY39" s="97"/>
      <c r="EZ39" s="97"/>
      <c r="FA39" s="97"/>
      <c r="FB39" s="97"/>
      <c r="FC39" s="97"/>
      <c r="FD39" s="97"/>
      <c r="FE39" s="98"/>
    </row>
    <row r="40" spans="1:161" ht="21.95" customHeight="1">
      <c r="A40" s="1" t="s">
        <v>54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24" t="str">
        <f>+Itemdata_1.1!B39</f>
        <v>"Системный блок HP dc7600 SFF P4-630"</v>
      </c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4"/>
      <c r="BK40" s="124"/>
      <c r="BL40" s="124"/>
      <c r="BM40" s="124"/>
      <c r="BN40" s="124"/>
      <c r="BO40" s="124"/>
      <c r="BP40" s="124"/>
      <c r="BQ40" s="124"/>
      <c r="BR40" s="124"/>
      <c r="BS40" s="124"/>
      <c r="BT40" s="124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212"/>
      <c r="DM40" s="23"/>
      <c r="DN40" s="110" t="s">
        <v>385</v>
      </c>
      <c r="DO40" s="110"/>
      <c r="DP40" s="110"/>
      <c r="DQ40" s="110"/>
      <c r="DR40" s="110"/>
      <c r="DS40" s="110"/>
      <c r="DT40" s="110"/>
      <c r="DU40" s="110"/>
      <c r="DV40" s="110"/>
      <c r="DW40" s="110"/>
      <c r="DX40" s="110"/>
      <c r="DY40" s="110"/>
      <c r="DZ40" s="110"/>
      <c r="EA40" s="110"/>
      <c r="EB40" s="110"/>
      <c r="EC40" s="110"/>
      <c r="ED40" s="110"/>
      <c r="EE40" s="111"/>
      <c r="EF40" s="99" t="s">
        <v>20</v>
      </c>
      <c r="EG40" s="100"/>
      <c r="EH40" s="100"/>
      <c r="EI40" s="100"/>
      <c r="EJ40" s="100"/>
      <c r="EK40" s="100"/>
      <c r="EL40" s="100"/>
      <c r="EM40" s="100"/>
      <c r="EN40" s="100"/>
      <c r="EO40" s="101"/>
      <c r="EP40" s="102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4"/>
    </row>
    <row r="41" spans="1:161" s="3" customFormat="1" ht="8.1" customHeight="1"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157" t="s">
        <v>86</v>
      </c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57"/>
      <c r="BG41" s="157"/>
      <c r="BH41" s="157"/>
      <c r="BI41" s="157"/>
      <c r="BJ41" s="157"/>
      <c r="BK41" s="157"/>
      <c r="BL41" s="157"/>
      <c r="BM41" s="157"/>
      <c r="BN41" s="157"/>
      <c r="BO41" s="157"/>
      <c r="BP41" s="157"/>
      <c r="BQ41" s="157"/>
      <c r="BR41" s="157"/>
      <c r="BS41" s="157"/>
      <c r="BT41" s="157"/>
      <c r="BU41" s="157"/>
      <c r="BV41" s="157"/>
      <c r="BW41" s="157"/>
      <c r="BX41" s="157"/>
      <c r="BY41" s="157"/>
      <c r="BZ41" s="157"/>
      <c r="CA41" s="157"/>
      <c r="CB41" s="157"/>
      <c r="CC41" s="157"/>
      <c r="CD41" s="157"/>
      <c r="CE41" s="157"/>
      <c r="CF41" s="157"/>
      <c r="CG41" s="157"/>
      <c r="CH41" s="157"/>
      <c r="CI41" s="157"/>
      <c r="CJ41" s="157"/>
      <c r="CK41" s="157"/>
      <c r="CL41" s="157"/>
      <c r="CM41" s="157"/>
      <c r="CN41" s="157"/>
      <c r="CO41" s="157"/>
      <c r="CP41" s="157"/>
      <c r="CQ41" s="157"/>
      <c r="CR41" s="157"/>
      <c r="CS41" s="157"/>
      <c r="CT41" s="157"/>
      <c r="CU41" s="157"/>
      <c r="CV41" s="157"/>
      <c r="CW41" s="157"/>
      <c r="CX41" s="157"/>
      <c r="CY41" s="157"/>
      <c r="CZ41" s="157"/>
      <c r="DA41" s="157"/>
      <c r="DB41" s="157"/>
      <c r="DC41" s="157"/>
      <c r="DD41" s="157"/>
      <c r="DE41" s="157"/>
      <c r="DF41" s="157"/>
      <c r="DG41" s="157"/>
      <c r="DH41" s="157"/>
      <c r="DI41" s="157"/>
      <c r="DJ41" s="157"/>
      <c r="DK41" s="157"/>
      <c r="DL41" s="157"/>
    </row>
    <row r="42" spans="1:161" ht="11.1" customHeight="1">
      <c r="A42" s="197" t="str">
        <f>+Itemdata_1.1!B44</f>
        <v xml:space="preserve"> </v>
      </c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98"/>
      <c r="AN42" s="198"/>
      <c r="AO42" s="198"/>
      <c r="AP42" s="198"/>
      <c r="AQ42" s="198"/>
      <c r="AR42" s="198"/>
      <c r="AS42" s="198"/>
      <c r="AT42" s="198"/>
      <c r="AU42" s="198"/>
      <c r="AV42" s="198"/>
      <c r="AW42" s="198"/>
      <c r="AX42" s="198"/>
      <c r="AY42" s="198"/>
      <c r="AZ42" s="198"/>
      <c r="BA42" s="198"/>
      <c r="BB42" s="198"/>
      <c r="BC42" s="198"/>
      <c r="BD42" s="198"/>
      <c r="BE42" s="198"/>
      <c r="BF42" s="198"/>
      <c r="BG42" s="198"/>
      <c r="BH42" s="198"/>
      <c r="BI42" s="198"/>
      <c r="BJ42" s="198"/>
      <c r="BK42" s="198"/>
      <c r="BL42" s="198"/>
      <c r="BM42" s="198"/>
      <c r="BN42" s="198"/>
      <c r="BO42" s="198"/>
      <c r="BP42" s="198"/>
      <c r="BQ42" s="198"/>
      <c r="BR42" s="198"/>
      <c r="BS42" s="198"/>
      <c r="BT42" s="198"/>
      <c r="BU42" s="198"/>
      <c r="BV42" s="198"/>
      <c r="BW42" s="198"/>
      <c r="BX42" s="198"/>
      <c r="BY42" s="198"/>
      <c r="BZ42" s="198"/>
      <c r="CA42" s="198"/>
      <c r="CB42" s="198"/>
      <c r="CC42" s="198"/>
      <c r="CD42" s="198"/>
      <c r="CE42" s="198"/>
      <c r="CF42" s="198"/>
      <c r="CG42" s="198"/>
      <c r="CH42" s="198"/>
      <c r="CI42" s="198"/>
      <c r="CJ42" s="198"/>
      <c r="CK42" s="198"/>
      <c r="CL42" s="198"/>
      <c r="CM42" s="198"/>
      <c r="CN42" s="198"/>
      <c r="CO42" s="198"/>
      <c r="CP42" s="198"/>
      <c r="CQ42" s="198"/>
      <c r="CR42" s="198"/>
      <c r="CS42" s="198"/>
      <c r="CT42" s="198"/>
      <c r="CU42" s="198"/>
      <c r="CV42" s="198"/>
      <c r="CW42" s="198"/>
      <c r="CX42" s="198"/>
      <c r="CY42" s="198"/>
      <c r="CZ42" s="198"/>
      <c r="DA42" s="198"/>
      <c r="DB42" s="198"/>
      <c r="DC42" s="198"/>
      <c r="DD42" s="198"/>
      <c r="DE42" s="198"/>
      <c r="DF42" s="198"/>
      <c r="DG42" s="198"/>
      <c r="DH42" s="198"/>
      <c r="DI42" s="198"/>
      <c r="DJ42" s="198"/>
      <c r="DK42" s="198"/>
      <c r="DL42" s="198"/>
      <c r="DM42" s="198"/>
      <c r="DN42" s="198"/>
      <c r="DO42" s="198"/>
      <c r="DP42" s="198"/>
      <c r="DQ42" s="198"/>
      <c r="DR42" s="198"/>
      <c r="DS42" s="198"/>
      <c r="DT42" s="198"/>
      <c r="DU42" s="198"/>
      <c r="DV42" s="198"/>
      <c r="DW42" s="198"/>
      <c r="DX42" s="198"/>
      <c r="DY42" s="198"/>
      <c r="DZ42" s="198"/>
      <c r="EA42" s="198"/>
      <c r="EB42" s="198"/>
      <c r="EC42" s="198"/>
      <c r="ED42" s="198"/>
      <c r="EE42" s="198"/>
      <c r="EF42" s="198"/>
      <c r="EG42" s="198"/>
      <c r="EH42" s="198"/>
      <c r="EI42" s="198"/>
      <c r="EJ42" s="198"/>
      <c r="EK42" s="198"/>
      <c r="EL42" s="198"/>
      <c r="EM42" s="198"/>
      <c r="EN42" s="198"/>
      <c r="EO42" s="198"/>
      <c r="EP42" s="198"/>
      <c r="EQ42" s="198"/>
      <c r="ER42" s="198"/>
      <c r="ES42" s="198"/>
      <c r="ET42" s="198"/>
      <c r="EU42" s="198"/>
      <c r="EV42" s="198"/>
      <c r="EW42" s="198"/>
      <c r="EX42" s="198"/>
      <c r="EY42" s="198"/>
      <c r="EZ42" s="198"/>
      <c r="FA42" s="198"/>
      <c r="FB42" s="198"/>
      <c r="FC42" s="198"/>
      <c r="FD42" s="198"/>
      <c r="FE42" s="198"/>
    </row>
    <row r="43" spans="1:161" ht="11.85" customHeight="1">
      <c r="A43" s="1" t="s">
        <v>31</v>
      </c>
      <c r="BA43" s="187" t="str">
        <f>Itemdata_1.1!B20</f>
        <v>ОАО «ТрансКонтейнер»</v>
      </c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  <c r="BN43" s="119"/>
      <c r="BO43" s="119"/>
      <c r="BP43" s="119"/>
      <c r="BQ43" s="119"/>
      <c r="BR43" s="119"/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9"/>
      <c r="DF43" s="119"/>
      <c r="DG43" s="119"/>
      <c r="DH43" s="119"/>
      <c r="DI43" s="119"/>
      <c r="DJ43" s="119"/>
      <c r="DK43" s="119"/>
      <c r="DL43" s="119"/>
      <c r="DM43" s="119"/>
      <c r="DN43" s="119"/>
      <c r="DO43" s="119"/>
      <c r="DP43" s="119"/>
      <c r="DQ43" s="119"/>
      <c r="DR43" s="119"/>
      <c r="DS43" s="119"/>
      <c r="DT43" s="119"/>
      <c r="DU43" s="119"/>
      <c r="DV43" s="119"/>
      <c r="DW43" s="119"/>
      <c r="DX43" s="119"/>
      <c r="DY43" s="119"/>
      <c r="DZ43" s="119"/>
      <c r="EA43" s="119"/>
      <c r="EB43" s="119"/>
      <c r="EC43" s="119"/>
      <c r="ED43" s="119"/>
      <c r="EE43" s="119"/>
      <c r="EF43" s="119"/>
      <c r="EG43" s="119"/>
      <c r="EH43" s="119"/>
      <c r="EI43" s="119"/>
      <c r="EJ43" s="119"/>
      <c r="EK43" s="119"/>
      <c r="EL43" s="119"/>
      <c r="EM43" s="119"/>
      <c r="EN43" s="119"/>
      <c r="EO43" s="119"/>
      <c r="EP43" s="119"/>
      <c r="EQ43" s="119"/>
      <c r="ER43" s="119"/>
      <c r="ES43" s="119"/>
      <c r="ET43" s="119"/>
      <c r="EU43" s="119"/>
      <c r="EV43" s="119"/>
      <c r="EW43" s="119"/>
      <c r="EX43" s="119"/>
      <c r="EY43" s="119"/>
      <c r="EZ43" s="119"/>
      <c r="FA43" s="119"/>
      <c r="FB43" s="119"/>
      <c r="FC43" s="119"/>
      <c r="FD43" s="119"/>
      <c r="FE43" s="119"/>
    </row>
    <row r="44" spans="1:161" ht="11.1" customHeight="1">
      <c r="A44" s="197" t="str">
        <f>Itemdata_1.1!B40</f>
        <v>техническое МВЗ</v>
      </c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  <c r="AP44" s="198"/>
      <c r="AQ44" s="198"/>
      <c r="AR44" s="198"/>
      <c r="AS44" s="198"/>
      <c r="AT44" s="198"/>
      <c r="AU44" s="198"/>
      <c r="AV44" s="198"/>
      <c r="AW44" s="198"/>
      <c r="AX44" s="198"/>
      <c r="AY44" s="198"/>
      <c r="AZ44" s="198"/>
      <c r="BA44" s="198"/>
      <c r="BB44" s="198"/>
      <c r="BC44" s="198"/>
      <c r="BD44" s="198"/>
      <c r="BE44" s="198"/>
      <c r="BF44" s="198"/>
      <c r="BG44" s="198"/>
      <c r="BH44" s="198"/>
      <c r="BI44" s="198"/>
      <c r="BJ44" s="198"/>
      <c r="BK44" s="198"/>
      <c r="BL44" s="198"/>
      <c r="BM44" s="198"/>
      <c r="BN44" s="198"/>
      <c r="BO44" s="198"/>
      <c r="BP44" s="198"/>
      <c r="BQ44" s="198"/>
      <c r="BR44" s="198"/>
      <c r="BS44" s="198"/>
      <c r="BT44" s="198"/>
      <c r="BU44" s="198"/>
      <c r="BV44" s="198"/>
      <c r="BW44" s="198"/>
      <c r="BX44" s="198"/>
      <c r="BY44" s="198"/>
      <c r="BZ44" s="198"/>
      <c r="CA44" s="198"/>
      <c r="CB44" s="198"/>
      <c r="CC44" s="198"/>
      <c r="CD44" s="198"/>
      <c r="CE44" s="198"/>
      <c r="CF44" s="198"/>
      <c r="CG44" s="198"/>
      <c r="CH44" s="198"/>
      <c r="CI44" s="198"/>
      <c r="CJ44" s="198"/>
      <c r="CK44" s="198"/>
      <c r="CL44" s="198"/>
      <c r="CM44" s="198"/>
      <c r="CN44" s="198"/>
      <c r="CO44" s="198"/>
      <c r="CP44" s="198"/>
      <c r="CQ44" s="198"/>
      <c r="CR44" s="198"/>
      <c r="CS44" s="198"/>
      <c r="CT44" s="198"/>
      <c r="CU44" s="198"/>
      <c r="CV44" s="198"/>
      <c r="CW44" s="198"/>
      <c r="CX44" s="198"/>
      <c r="CY44" s="198"/>
      <c r="CZ44" s="198"/>
      <c r="DA44" s="198"/>
      <c r="DB44" s="198"/>
      <c r="DC44" s="198"/>
      <c r="DD44" s="198"/>
      <c r="DE44" s="198"/>
      <c r="DF44" s="198"/>
      <c r="DG44" s="198"/>
      <c r="DH44" s="198"/>
      <c r="DI44" s="198"/>
      <c r="DJ44" s="198"/>
      <c r="DK44" s="198"/>
      <c r="DL44" s="198"/>
      <c r="DM44" s="198"/>
      <c r="DN44" s="198"/>
      <c r="DO44" s="198"/>
      <c r="DP44" s="198"/>
      <c r="DQ44" s="198"/>
      <c r="DR44" s="198"/>
      <c r="DS44" s="198"/>
      <c r="DT44" s="198"/>
      <c r="DU44" s="198"/>
      <c r="DV44" s="198"/>
      <c r="DW44" s="198"/>
      <c r="DX44" s="198"/>
      <c r="DY44" s="198"/>
      <c r="DZ44" s="198"/>
      <c r="EA44" s="198"/>
      <c r="EB44" s="198"/>
      <c r="EC44" s="198"/>
      <c r="ED44" s="198"/>
      <c r="EE44" s="198"/>
      <c r="EF44" s="198"/>
      <c r="EG44" s="198"/>
      <c r="EH44" s="198"/>
      <c r="EI44" s="198"/>
      <c r="EJ44" s="198"/>
      <c r="EK44" s="198"/>
      <c r="EL44" s="198"/>
      <c r="EM44" s="198"/>
      <c r="EN44" s="198"/>
      <c r="EO44" s="198"/>
      <c r="EP44" s="198"/>
      <c r="EQ44" s="198"/>
      <c r="ER44" s="198"/>
      <c r="ES44" s="198"/>
      <c r="ET44" s="198"/>
      <c r="EU44" s="198"/>
      <c r="EV44" s="198"/>
      <c r="EW44" s="198"/>
      <c r="EX44" s="198"/>
      <c r="EY44" s="198"/>
      <c r="EZ44" s="198"/>
      <c r="FA44" s="198"/>
      <c r="FB44" s="198"/>
      <c r="FC44" s="198"/>
      <c r="FD44" s="198"/>
      <c r="FE44" s="198"/>
    </row>
    <row r="45" spans="1:161" ht="11.85" customHeight="1">
      <c r="A45" s="1" t="s">
        <v>69</v>
      </c>
      <c r="AA45" s="187" t="str">
        <f>+Itemdata_1.1!B41</f>
        <v xml:space="preserve"> </v>
      </c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  <c r="AX45" s="113"/>
      <c r="AY45" s="113"/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13"/>
      <c r="BL45" s="113"/>
      <c r="BM45" s="113"/>
      <c r="BN45" s="113"/>
      <c r="BO45" s="113"/>
      <c r="BP45" s="113"/>
      <c r="BQ45" s="113"/>
      <c r="BR45" s="113"/>
      <c r="BS45" s="113"/>
      <c r="BT45" s="113"/>
      <c r="BU45" s="113"/>
      <c r="BV45" s="113"/>
      <c r="BW45" s="113"/>
      <c r="BX45" s="113"/>
      <c r="BY45" s="113"/>
      <c r="BZ45" s="113"/>
      <c r="CA45" s="113"/>
      <c r="CB45" s="113"/>
      <c r="CC45" s="113"/>
      <c r="CD45" s="113"/>
      <c r="CE45" s="113"/>
      <c r="CF45" s="113"/>
      <c r="CG45" s="113"/>
      <c r="CH45" s="113"/>
      <c r="CI45" s="113"/>
      <c r="CJ45" s="113"/>
      <c r="CK45" s="113"/>
      <c r="CL45" s="113"/>
      <c r="CM45" s="113"/>
      <c r="CN45" s="113"/>
      <c r="CO45" s="113"/>
      <c r="CP45" s="113"/>
      <c r="CQ45" s="113"/>
      <c r="CR45" s="113"/>
      <c r="CS45" s="113"/>
      <c r="CT45" s="113"/>
      <c r="CU45" s="113"/>
      <c r="CV45" s="113"/>
      <c r="CW45" s="113"/>
      <c r="CX45" s="113"/>
      <c r="CY45" s="113"/>
      <c r="CZ45" s="113"/>
      <c r="DA45" s="113"/>
      <c r="DB45" s="113"/>
      <c r="DC45" s="113"/>
      <c r="DD45" s="113"/>
      <c r="DE45" s="113"/>
      <c r="DF45" s="113"/>
      <c r="DG45" s="113"/>
      <c r="DH45" s="113"/>
      <c r="DI45" s="113"/>
      <c r="DJ45" s="113"/>
      <c r="DK45" s="113"/>
      <c r="DL45" s="113"/>
      <c r="DM45" s="113"/>
      <c r="DN45" s="113"/>
      <c r="DO45" s="113"/>
      <c r="DP45" s="113"/>
      <c r="DQ45" s="113"/>
      <c r="DR45" s="113"/>
      <c r="DS45" s="113"/>
      <c r="DT45" s="113"/>
      <c r="DU45" s="113"/>
      <c r="DV45" s="113"/>
      <c r="DW45" s="113"/>
      <c r="DX45" s="113"/>
      <c r="DY45" s="113"/>
      <c r="DZ45" s="113"/>
      <c r="EA45" s="113"/>
      <c r="EB45" s="113"/>
      <c r="EC45" s="113"/>
      <c r="ED45" s="113"/>
      <c r="EE45" s="113"/>
      <c r="EF45" s="113"/>
      <c r="EG45" s="113"/>
      <c r="EH45" s="113"/>
      <c r="EI45" s="113"/>
      <c r="EJ45" s="113"/>
      <c r="EK45" s="113"/>
      <c r="EL45" s="113"/>
      <c r="EM45" s="113"/>
      <c r="EN45" s="113"/>
      <c r="EO45" s="113"/>
      <c r="EP45" s="113"/>
      <c r="EQ45" s="113"/>
      <c r="ER45" s="113"/>
      <c r="ES45" s="113"/>
      <c r="ET45" s="113"/>
      <c r="EU45" s="113"/>
      <c r="EV45" s="113"/>
      <c r="EW45" s="113"/>
      <c r="EX45" s="113"/>
      <c r="EY45" s="113"/>
      <c r="EZ45" s="113"/>
      <c r="FA45" s="113"/>
      <c r="FB45" s="113"/>
      <c r="FC45" s="113"/>
      <c r="FD45" s="113"/>
      <c r="FE45" s="113"/>
    </row>
    <row r="46" spans="1:161" s="3" customFormat="1" ht="8.1" customHeight="1">
      <c r="AA46" s="157" t="s">
        <v>13</v>
      </c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7"/>
      <c r="BJ46" s="157"/>
      <c r="BK46" s="157"/>
      <c r="BL46" s="157"/>
      <c r="BM46" s="157"/>
      <c r="BN46" s="157"/>
      <c r="BO46" s="157"/>
      <c r="BP46" s="157"/>
      <c r="BQ46" s="157"/>
      <c r="BR46" s="157"/>
      <c r="BS46" s="157"/>
      <c r="BT46" s="157"/>
      <c r="BU46" s="157"/>
      <c r="BV46" s="157"/>
      <c r="BW46" s="157"/>
      <c r="BX46" s="157"/>
      <c r="BY46" s="157"/>
      <c r="BZ46" s="157"/>
      <c r="CA46" s="157"/>
      <c r="CB46" s="157"/>
      <c r="CC46" s="157"/>
      <c r="CD46" s="157"/>
      <c r="CE46" s="157"/>
      <c r="CF46" s="157"/>
      <c r="CG46" s="157"/>
      <c r="CH46" s="157"/>
      <c r="CI46" s="157"/>
      <c r="CJ46" s="157"/>
      <c r="CK46" s="157"/>
      <c r="CL46" s="157"/>
      <c r="CM46" s="157"/>
      <c r="CN46" s="157"/>
      <c r="CO46" s="157"/>
      <c r="CP46" s="157"/>
      <c r="CQ46" s="157"/>
      <c r="CR46" s="157"/>
      <c r="CS46" s="157"/>
      <c r="CT46" s="157"/>
      <c r="CU46" s="157"/>
      <c r="CV46" s="157"/>
      <c r="CW46" s="157"/>
      <c r="CX46" s="157"/>
      <c r="CY46" s="157"/>
      <c r="CZ46" s="157"/>
      <c r="DA46" s="157"/>
      <c r="DB46" s="157"/>
      <c r="DC46" s="157"/>
      <c r="DD46" s="157"/>
      <c r="DE46" s="157"/>
      <c r="DF46" s="157"/>
      <c r="DG46" s="157"/>
      <c r="DH46" s="157"/>
      <c r="DI46" s="157"/>
      <c r="DJ46" s="157"/>
      <c r="DK46" s="157"/>
      <c r="DL46" s="157"/>
      <c r="DM46" s="157"/>
      <c r="DN46" s="157"/>
      <c r="DO46" s="157"/>
      <c r="DP46" s="157"/>
      <c r="DQ46" s="157"/>
      <c r="DR46" s="157"/>
      <c r="DS46" s="157"/>
      <c r="DT46" s="157"/>
      <c r="DU46" s="157"/>
      <c r="DV46" s="157"/>
      <c r="DW46" s="157"/>
      <c r="DX46" s="157"/>
      <c r="DY46" s="157"/>
      <c r="DZ46" s="157"/>
      <c r="EA46" s="157"/>
      <c r="EB46" s="157"/>
      <c r="EC46" s="157"/>
      <c r="ED46" s="157"/>
      <c r="EE46" s="157"/>
      <c r="EF46" s="157"/>
      <c r="EG46" s="157"/>
      <c r="EH46" s="157"/>
      <c r="EI46" s="157"/>
      <c r="EJ46" s="157"/>
      <c r="EK46" s="157"/>
      <c r="EL46" s="157"/>
      <c r="EM46" s="157"/>
      <c r="EN46" s="157"/>
      <c r="EO46" s="157"/>
      <c r="EP46" s="157"/>
      <c r="EQ46" s="157"/>
      <c r="ER46" s="157"/>
      <c r="ES46" s="157"/>
      <c r="ET46" s="157"/>
      <c r="EU46" s="157"/>
      <c r="EV46" s="157"/>
      <c r="EW46" s="157"/>
      <c r="EX46" s="157"/>
      <c r="EY46" s="157"/>
      <c r="EZ46" s="157"/>
      <c r="FA46" s="157"/>
      <c r="FB46" s="157"/>
      <c r="FC46" s="157"/>
      <c r="FD46" s="157"/>
      <c r="FE46" s="157"/>
    </row>
    <row r="47" spans="1:161" ht="11.1" customHeight="1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  <c r="AS47" s="198"/>
      <c r="AT47" s="198"/>
      <c r="AU47" s="198"/>
      <c r="AV47" s="198"/>
      <c r="AW47" s="198"/>
      <c r="AX47" s="198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198"/>
      <c r="BN47" s="198"/>
      <c r="BO47" s="198"/>
      <c r="BP47" s="198"/>
      <c r="BQ47" s="198"/>
      <c r="BR47" s="198"/>
      <c r="BS47" s="198"/>
      <c r="BT47" s="198"/>
      <c r="BU47" s="198"/>
      <c r="BV47" s="198"/>
      <c r="BW47" s="198"/>
      <c r="BX47" s="198"/>
      <c r="BY47" s="198"/>
      <c r="BZ47" s="198"/>
      <c r="CA47" s="198"/>
      <c r="CB47" s="198"/>
      <c r="CC47" s="198"/>
      <c r="CD47" s="198"/>
      <c r="CE47" s="198"/>
      <c r="CF47" s="198"/>
      <c r="CG47" s="198"/>
      <c r="CH47" s="198"/>
      <c r="CI47" s="198"/>
      <c r="CJ47" s="198"/>
      <c r="CK47" s="198"/>
      <c r="CL47" s="198"/>
      <c r="CM47" s="198"/>
      <c r="CN47" s="198"/>
      <c r="CO47" s="198"/>
      <c r="CP47" s="198"/>
      <c r="CQ47" s="198"/>
      <c r="CR47" s="198"/>
      <c r="CS47" s="198"/>
      <c r="CT47" s="198"/>
      <c r="CU47" s="198"/>
      <c r="CV47" s="198"/>
      <c r="CW47" s="198"/>
      <c r="CX47" s="198"/>
      <c r="CY47" s="198"/>
      <c r="CZ47" s="198"/>
      <c r="DA47" s="198"/>
      <c r="DB47" s="198"/>
      <c r="DC47" s="198"/>
      <c r="DD47" s="198"/>
      <c r="DE47" s="198"/>
      <c r="DF47" s="198"/>
      <c r="DG47" s="198"/>
      <c r="DH47" s="198"/>
      <c r="DI47" s="198"/>
      <c r="DJ47" s="198"/>
      <c r="DK47" s="198"/>
      <c r="DL47" s="198"/>
      <c r="DM47" s="198"/>
      <c r="DN47" s="198"/>
      <c r="DO47" s="198"/>
      <c r="DP47" s="198"/>
      <c r="DQ47" s="198"/>
      <c r="DR47" s="198"/>
      <c r="DS47" s="198"/>
      <c r="DT47" s="198"/>
      <c r="DU47" s="198"/>
      <c r="DV47" s="198"/>
      <c r="DW47" s="198"/>
      <c r="DX47" s="198"/>
      <c r="DY47" s="198"/>
      <c r="DZ47" s="198"/>
      <c r="EA47" s="198"/>
      <c r="EB47" s="198"/>
      <c r="EC47" s="198"/>
      <c r="ED47" s="198"/>
      <c r="EE47" s="198"/>
      <c r="EF47" s="198"/>
      <c r="EG47" s="198"/>
      <c r="EH47" s="198"/>
      <c r="EI47" s="198"/>
      <c r="EJ47" s="198"/>
      <c r="EK47" s="198"/>
      <c r="EL47" s="198"/>
      <c r="EM47" s="198"/>
      <c r="EN47" s="198"/>
      <c r="EO47" s="198"/>
    </row>
    <row r="48" spans="1:161" ht="11.85" customHeight="1">
      <c r="A48" s="1" t="s">
        <v>33</v>
      </c>
      <c r="L48" s="1" t="s">
        <v>34</v>
      </c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19"/>
      <c r="BY48" s="119"/>
      <c r="BZ48" s="119"/>
      <c r="CA48" s="119"/>
      <c r="CB48" s="119"/>
      <c r="CC48" s="119"/>
      <c r="CD48" s="119"/>
      <c r="CE48" s="119"/>
      <c r="CF48" s="119"/>
      <c r="CG48" s="119"/>
      <c r="CH48" s="119"/>
      <c r="CI48" s="119"/>
      <c r="CJ48" s="119"/>
      <c r="CK48" s="119"/>
      <c r="CL48" s="119"/>
      <c r="CM48" s="119"/>
      <c r="CN48" s="119"/>
      <c r="CO48" s="119"/>
      <c r="CP48" s="119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  <c r="DE48" s="119"/>
      <c r="DF48" s="119"/>
      <c r="DG48" s="119"/>
      <c r="DH48" s="119"/>
      <c r="DI48" s="119"/>
      <c r="DJ48" s="119"/>
      <c r="DK48" s="119"/>
      <c r="DL48" s="119"/>
      <c r="DM48" s="119"/>
      <c r="DN48" s="119"/>
      <c r="DO48" s="119"/>
      <c r="DP48" s="119"/>
      <c r="DQ48" s="119"/>
      <c r="DR48" s="119"/>
      <c r="DS48" s="119"/>
      <c r="DT48" s="120"/>
      <c r="DU48" s="188" t="s">
        <v>32</v>
      </c>
      <c r="DV48" s="189"/>
      <c r="DW48" s="189"/>
      <c r="DX48" s="189"/>
      <c r="DY48" s="189"/>
      <c r="DZ48" s="189"/>
      <c r="EA48" s="189"/>
      <c r="EB48" s="189"/>
      <c r="EC48" s="189"/>
      <c r="ED48" s="189"/>
      <c r="EE48" s="189"/>
      <c r="EF48" s="189"/>
      <c r="EG48" s="189"/>
      <c r="EH48" s="189"/>
      <c r="EI48" s="189"/>
      <c r="EJ48" s="189"/>
      <c r="EK48" s="189"/>
      <c r="EL48" s="189"/>
      <c r="EM48" s="189"/>
      <c r="EN48" s="189"/>
      <c r="EO48" s="190"/>
      <c r="EP48" s="135"/>
      <c r="EQ48" s="187"/>
      <c r="ER48" s="187"/>
      <c r="ES48" s="187"/>
      <c r="ET48" s="187"/>
      <c r="EU48" s="187"/>
      <c r="EV48" s="187"/>
      <c r="EW48" s="187"/>
      <c r="EX48" s="187"/>
      <c r="EY48" s="187"/>
      <c r="EZ48" s="187"/>
      <c r="FA48" s="187"/>
      <c r="FB48" s="187"/>
      <c r="FC48" s="187"/>
      <c r="FD48" s="187"/>
      <c r="FE48" s="200"/>
    </row>
    <row r="49" spans="1:161" ht="11.8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198"/>
      <c r="AM49" s="198"/>
      <c r="AN49" s="198"/>
      <c r="AO49" s="198"/>
      <c r="AP49" s="198"/>
      <c r="AQ49" s="198"/>
      <c r="AR49" s="198"/>
      <c r="AS49" s="198"/>
      <c r="AT49" s="198"/>
      <c r="AU49" s="198"/>
      <c r="AV49" s="198"/>
      <c r="AW49" s="198"/>
      <c r="AX49" s="198"/>
      <c r="AY49" s="198"/>
      <c r="AZ49" s="198"/>
      <c r="BA49" s="198"/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  <c r="BN49" s="198"/>
      <c r="BO49" s="198"/>
      <c r="BP49" s="198"/>
      <c r="BQ49" s="198"/>
      <c r="BR49" s="198"/>
      <c r="BS49" s="198"/>
      <c r="BT49" s="198"/>
      <c r="BU49" s="198"/>
      <c r="BV49" s="198"/>
      <c r="BW49" s="198"/>
      <c r="BX49" s="198"/>
      <c r="BY49" s="198"/>
      <c r="BZ49" s="198"/>
      <c r="CA49" s="198"/>
      <c r="CB49" s="198"/>
      <c r="CC49" s="198"/>
      <c r="CD49" s="198"/>
      <c r="CE49" s="198"/>
      <c r="CF49" s="198"/>
      <c r="CG49" s="198"/>
      <c r="CH49" s="198"/>
      <c r="CI49" s="198"/>
      <c r="CJ49" s="198"/>
      <c r="CK49" s="198"/>
      <c r="CL49" s="198"/>
      <c r="CM49" s="198"/>
      <c r="CN49" s="198"/>
      <c r="CO49" s="198"/>
      <c r="CP49" s="198"/>
      <c r="CQ49" s="198"/>
      <c r="CR49" s="198"/>
      <c r="CS49" s="198"/>
      <c r="CT49" s="198"/>
      <c r="CU49" s="198"/>
      <c r="CV49" s="198"/>
      <c r="CW49" s="198"/>
      <c r="CX49" s="198"/>
      <c r="CY49" s="198"/>
      <c r="CZ49" s="198"/>
      <c r="DA49" s="198"/>
      <c r="DB49" s="198"/>
      <c r="DC49" s="198"/>
      <c r="DD49" s="198"/>
      <c r="DE49" s="198"/>
      <c r="DF49" s="198"/>
      <c r="DG49" s="198"/>
      <c r="DH49" s="198"/>
      <c r="DI49" s="198"/>
      <c r="DJ49" s="198"/>
      <c r="DK49" s="198"/>
      <c r="DL49" s="198"/>
      <c r="DM49" s="198"/>
      <c r="DN49" s="198"/>
      <c r="DO49" s="198"/>
      <c r="DP49" s="198"/>
      <c r="DQ49" s="198"/>
      <c r="DR49" s="198"/>
      <c r="DS49" s="198"/>
      <c r="DT49" s="199"/>
      <c r="DU49" s="191"/>
      <c r="DV49" s="192"/>
      <c r="DW49" s="192"/>
      <c r="DX49" s="192"/>
      <c r="DY49" s="192"/>
      <c r="DZ49" s="192"/>
      <c r="EA49" s="192"/>
      <c r="EB49" s="192"/>
      <c r="EC49" s="192"/>
      <c r="ED49" s="192"/>
      <c r="EE49" s="192"/>
      <c r="EF49" s="192"/>
      <c r="EG49" s="192"/>
      <c r="EH49" s="192"/>
      <c r="EI49" s="192"/>
      <c r="EJ49" s="192"/>
      <c r="EK49" s="192"/>
      <c r="EL49" s="192"/>
      <c r="EM49" s="192"/>
      <c r="EN49" s="192"/>
      <c r="EO49" s="193"/>
      <c r="EP49" s="201"/>
      <c r="EQ49" s="202"/>
      <c r="ER49" s="202"/>
      <c r="ES49" s="202"/>
      <c r="ET49" s="202"/>
      <c r="EU49" s="202"/>
      <c r="EV49" s="202"/>
      <c r="EW49" s="202"/>
      <c r="EX49" s="202"/>
      <c r="EY49" s="202"/>
      <c r="EZ49" s="202"/>
      <c r="FA49" s="202"/>
      <c r="FB49" s="202"/>
      <c r="FC49" s="202"/>
      <c r="FD49" s="202"/>
      <c r="FE49" s="203"/>
    </row>
    <row r="50" spans="1:161" ht="11.85" customHeight="1">
      <c r="L50" s="1" t="s">
        <v>35</v>
      </c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Q50" s="119"/>
      <c r="BR50" s="119"/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J50" s="187"/>
      <c r="CK50" s="187"/>
      <c r="CL50" s="187"/>
      <c r="CM50" s="187"/>
      <c r="CN50" s="187"/>
      <c r="CO50" s="187"/>
      <c r="CP50" s="187"/>
      <c r="CQ50" s="187"/>
      <c r="CR50" s="187"/>
      <c r="CS50" s="187"/>
      <c r="CT50" s="187"/>
      <c r="CU50" s="187"/>
      <c r="CV50" s="187"/>
      <c r="CW50" s="187"/>
      <c r="CX50" s="187"/>
      <c r="CY50" s="187"/>
      <c r="CZ50" s="187"/>
      <c r="DA50" s="187"/>
      <c r="DB50" s="187"/>
      <c r="DC50" s="187"/>
      <c r="DG50" s="119"/>
      <c r="DH50" s="119"/>
      <c r="DI50" s="119"/>
      <c r="DJ50" s="119"/>
      <c r="DK50" s="119"/>
      <c r="DL50" s="119"/>
      <c r="DM50" s="119"/>
      <c r="DN50" s="119"/>
      <c r="DO50" s="119"/>
      <c r="DP50" s="119"/>
      <c r="DQ50" s="119"/>
      <c r="DR50" s="119"/>
      <c r="DS50" s="119"/>
      <c r="DT50" s="119"/>
      <c r="DU50" s="119"/>
      <c r="DV50" s="119"/>
      <c r="DW50" s="119"/>
      <c r="DX50" s="119"/>
      <c r="DY50" s="119"/>
      <c r="DZ50" s="119"/>
      <c r="EA50" s="119"/>
      <c r="EB50" s="119"/>
      <c r="EC50" s="119"/>
      <c r="ED50" s="119"/>
    </row>
    <row r="51" spans="1:161" s="3" customFormat="1" ht="8.1" customHeight="1">
      <c r="AL51" s="157" t="s">
        <v>13</v>
      </c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7"/>
      <c r="BJ51" s="157"/>
      <c r="BK51" s="157"/>
      <c r="BL51" s="157"/>
      <c r="BM51" s="157"/>
      <c r="BN51" s="13"/>
      <c r="BO51" s="13"/>
      <c r="BP51" s="13"/>
      <c r="BQ51" s="157" t="s">
        <v>36</v>
      </c>
      <c r="BR51" s="157"/>
      <c r="BS51" s="157"/>
      <c r="BT51" s="157"/>
      <c r="BU51" s="157"/>
      <c r="BV51" s="157"/>
      <c r="BW51" s="157"/>
      <c r="BX51" s="157"/>
      <c r="BY51" s="157"/>
      <c r="BZ51" s="157"/>
      <c r="CA51" s="157"/>
      <c r="CB51" s="157"/>
      <c r="CC51" s="157"/>
      <c r="CD51" s="157"/>
      <c r="CE51" s="157"/>
      <c r="CF51" s="157"/>
      <c r="CG51" s="13"/>
      <c r="CH51" s="13"/>
      <c r="CI51" s="13"/>
      <c r="CJ51" s="157" t="s">
        <v>37</v>
      </c>
      <c r="CK51" s="157"/>
      <c r="CL51" s="157"/>
      <c r="CM51" s="157"/>
      <c r="CN51" s="157"/>
      <c r="CO51" s="157"/>
      <c r="CP51" s="157"/>
      <c r="CQ51" s="157"/>
      <c r="CR51" s="157"/>
      <c r="CS51" s="157"/>
      <c r="CT51" s="157"/>
      <c r="CU51" s="157"/>
      <c r="CV51" s="157"/>
      <c r="CW51" s="157"/>
      <c r="CX51" s="157"/>
      <c r="CY51" s="157"/>
      <c r="CZ51" s="157"/>
      <c r="DA51" s="157"/>
      <c r="DB51" s="157"/>
      <c r="DC51" s="157"/>
      <c r="DD51" s="13"/>
      <c r="DE51" s="13"/>
      <c r="DF51" s="13"/>
      <c r="DG51" s="157" t="s">
        <v>38</v>
      </c>
      <c r="DH51" s="157"/>
      <c r="DI51" s="157"/>
      <c r="DJ51" s="157"/>
      <c r="DK51" s="157"/>
      <c r="DL51" s="157"/>
      <c r="DM51" s="157"/>
      <c r="DN51" s="157"/>
      <c r="DO51" s="157"/>
      <c r="DP51" s="157"/>
      <c r="DQ51" s="157"/>
      <c r="DR51" s="157"/>
      <c r="DS51" s="157"/>
      <c r="DT51" s="157"/>
      <c r="DU51" s="157"/>
      <c r="DV51" s="157"/>
      <c r="DW51" s="157"/>
      <c r="DX51" s="157"/>
      <c r="DY51" s="157"/>
      <c r="DZ51" s="157"/>
      <c r="EA51" s="157"/>
      <c r="EB51" s="157"/>
      <c r="EC51" s="157"/>
      <c r="ED51" s="157"/>
    </row>
    <row r="52" spans="1:161" ht="11.1" customHeight="1">
      <c r="A52" s="19" t="s">
        <v>66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161" s="12" customFormat="1" ht="12">
      <c r="FE53" s="17" t="s">
        <v>90</v>
      </c>
    </row>
    <row r="54" spans="1:161" s="12" customFormat="1" ht="10.5" customHeight="1">
      <c r="FE54" s="17"/>
    </row>
    <row r="55" spans="1:161">
      <c r="A55" s="2" t="s">
        <v>372</v>
      </c>
      <c r="DD55" s="2"/>
      <c r="DN55" s="2" t="s">
        <v>380</v>
      </c>
    </row>
    <row r="56" spans="1:161">
      <c r="DD56" s="2"/>
      <c r="DN56" s="2" t="s">
        <v>381</v>
      </c>
    </row>
    <row r="57" spans="1:161" ht="27.75" customHeight="1">
      <c r="A57" s="158" t="s">
        <v>23</v>
      </c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60" t="s">
        <v>40</v>
      </c>
      <c r="AL57" s="161"/>
      <c r="AM57" s="161"/>
      <c r="AN57" s="161"/>
      <c r="AO57" s="161"/>
      <c r="AP57" s="161"/>
      <c r="AQ57" s="161"/>
      <c r="AR57" s="161"/>
      <c r="AS57" s="161"/>
      <c r="AT57" s="161"/>
      <c r="AU57" s="161"/>
      <c r="AV57" s="161"/>
      <c r="AW57" s="161"/>
      <c r="AX57" s="162"/>
      <c r="AY57" s="160" t="s">
        <v>43</v>
      </c>
      <c r="AZ57" s="161"/>
      <c r="BA57" s="161"/>
      <c r="BB57" s="161"/>
      <c r="BC57" s="161"/>
      <c r="BD57" s="161"/>
      <c r="BE57" s="161"/>
      <c r="BF57" s="161"/>
      <c r="BG57" s="161"/>
      <c r="BH57" s="161"/>
      <c r="BI57" s="161"/>
      <c r="BJ57" s="161"/>
      <c r="BK57" s="161"/>
      <c r="BL57" s="161"/>
      <c r="BM57" s="161"/>
      <c r="BN57" s="162"/>
      <c r="BO57" s="160" t="s">
        <v>87</v>
      </c>
      <c r="BP57" s="161"/>
      <c r="BQ57" s="161"/>
      <c r="BR57" s="161"/>
      <c r="BS57" s="161"/>
      <c r="BT57" s="161"/>
      <c r="BU57" s="161"/>
      <c r="BV57" s="161"/>
      <c r="BW57" s="161"/>
      <c r="BX57" s="161"/>
      <c r="BY57" s="161"/>
      <c r="BZ57" s="161"/>
      <c r="CA57" s="161"/>
      <c r="CB57" s="162"/>
      <c r="CC57" s="160" t="s">
        <v>41</v>
      </c>
      <c r="CD57" s="161"/>
      <c r="CE57" s="161"/>
      <c r="CF57" s="161"/>
      <c r="CG57" s="161"/>
      <c r="CH57" s="161"/>
      <c r="CI57" s="161"/>
      <c r="CJ57" s="161"/>
      <c r="CK57" s="161"/>
      <c r="CL57" s="161"/>
      <c r="CM57" s="161"/>
      <c r="CN57" s="161"/>
      <c r="CO57" s="162"/>
      <c r="CP57" s="160" t="s">
        <v>42</v>
      </c>
      <c r="CQ57" s="161"/>
      <c r="CR57" s="161"/>
      <c r="CS57" s="161"/>
      <c r="CT57" s="161"/>
      <c r="CU57" s="161"/>
      <c r="CV57" s="161"/>
      <c r="CW57" s="161"/>
      <c r="CX57" s="161"/>
      <c r="CY57" s="161"/>
      <c r="CZ57" s="161"/>
      <c r="DA57" s="161"/>
      <c r="DB57" s="161"/>
      <c r="DC57" s="161"/>
      <c r="DD57" s="160" t="s">
        <v>376</v>
      </c>
      <c r="DE57" s="161"/>
      <c r="DF57" s="161"/>
      <c r="DG57" s="161"/>
      <c r="DH57" s="161"/>
      <c r="DI57" s="161"/>
      <c r="DJ57" s="161"/>
      <c r="DK57" s="161"/>
      <c r="DL57" s="161"/>
      <c r="DM57" s="284"/>
      <c r="DN57" s="184" t="s">
        <v>377</v>
      </c>
      <c r="DO57" s="161"/>
      <c r="DP57" s="161"/>
      <c r="DQ57" s="161"/>
      <c r="DR57" s="161"/>
      <c r="DS57" s="161"/>
      <c r="DT57" s="161"/>
      <c r="DU57" s="161"/>
      <c r="DV57" s="161"/>
      <c r="DW57" s="161"/>
      <c r="DX57" s="161"/>
      <c r="DY57" s="161"/>
      <c r="DZ57" s="161"/>
      <c r="EA57" s="161"/>
      <c r="EB57" s="161"/>
      <c r="EC57" s="162"/>
      <c r="ED57" s="160" t="s">
        <v>378</v>
      </c>
      <c r="EE57" s="161"/>
      <c r="EF57" s="161"/>
      <c r="EG57" s="161"/>
      <c r="EH57" s="161"/>
      <c r="EI57" s="161"/>
      <c r="EJ57" s="161"/>
      <c r="EK57" s="161"/>
      <c r="EL57" s="161"/>
      <c r="EM57" s="162"/>
      <c r="EN57" s="137" t="s">
        <v>45</v>
      </c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  <c r="FA57" s="138"/>
      <c r="FB57" s="138"/>
      <c r="FC57" s="138"/>
      <c r="FD57" s="138"/>
      <c r="FE57" s="139"/>
    </row>
    <row r="58" spans="1:161" ht="66.75" customHeight="1">
      <c r="A58" s="137" t="s">
        <v>70</v>
      </c>
      <c r="B58" s="138"/>
      <c r="C58" s="138"/>
      <c r="D58" s="138"/>
      <c r="E58" s="138"/>
      <c r="F58" s="138"/>
      <c r="G58" s="138"/>
      <c r="H58" s="138"/>
      <c r="I58" s="138"/>
      <c r="J58" s="139"/>
      <c r="K58" s="137" t="s">
        <v>71</v>
      </c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9"/>
      <c r="W58" s="137" t="s">
        <v>46</v>
      </c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9"/>
      <c r="AK58" s="163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5"/>
      <c r="AY58" s="163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5"/>
      <c r="BO58" s="163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5"/>
      <c r="CC58" s="163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5"/>
      <c r="CP58" s="163"/>
      <c r="CQ58" s="164"/>
      <c r="CR58" s="164"/>
      <c r="CS58" s="164"/>
      <c r="CT58" s="164"/>
      <c r="CU58" s="164"/>
      <c r="CV58" s="164"/>
      <c r="CW58" s="164"/>
      <c r="CX58" s="164"/>
      <c r="CY58" s="164"/>
      <c r="CZ58" s="164"/>
      <c r="DA58" s="164"/>
      <c r="DB58" s="164"/>
      <c r="DC58" s="164"/>
      <c r="DD58" s="163"/>
      <c r="DE58" s="164"/>
      <c r="DF58" s="164"/>
      <c r="DG58" s="164"/>
      <c r="DH58" s="164"/>
      <c r="DI58" s="164"/>
      <c r="DJ58" s="164"/>
      <c r="DK58" s="164"/>
      <c r="DL58" s="164"/>
      <c r="DM58" s="285"/>
      <c r="DN58" s="185"/>
      <c r="DO58" s="164"/>
      <c r="DP58" s="164"/>
      <c r="DQ58" s="164"/>
      <c r="DR58" s="164"/>
      <c r="DS58" s="164"/>
      <c r="DT58" s="164"/>
      <c r="DU58" s="164"/>
      <c r="DV58" s="164"/>
      <c r="DW58" s="164"/>
      <c r="DX58" s="164"/>
      <c r="DY58" s="164"/>
      <c r="DZ58" s="164"/>
      <c r="EA58" s="164"/>
      <c r="EB58" s="164"/>
      <c r="EC58" s="165"/>
      <c r="ED58" s="163"/>
      <c r="EE58" s="164"/>
      <c r="EF58" s="164"/>
      <c r="EG58" s="164"/>
      <c r="EH58" s="164"/>
      <c r="EI58" s="164"/>
      <c r="EJ58" s="164"/>
      <c r="EK58" s="164"/>
      <c r="EL58" s="164"/>
      <c r="EM58" s="165"/>
      <c r="EN58" s="137" t="s">
        <v>379</v>
      </c>
      <c r="EO58" s="138"/>
      <c r="EP58" s="138"/>
      <c r="EQ58" s="138"/>
      <c r="ER58" s="138"/>
      <c r="ES58" s="138"/>
      <c r="ET58" s="138"/>
      <c r="EU58" s="138"/>
      <c r="EV58" s="138"/>
      <c r="EW58" s="139"/>
      <c r="EX58" s="137" t="s">
        <v>363</v>
      </c>
      <c r="EY58" s="159"/>
      <c r="EZ58" s="159"/>
      <c r="FA58" s="159"/>
      <c r="FB58" s="159"/>
      <c r="FC58" s="159"/>
      <c r="FD58" s="159"/>
      <c r="FE58" s="172"/>
    </row>
    <row r="59" spans="1:161">
      <c r="A59" s="118">
        <v>1</v>
      </c>
      <c r="B59" s="119"/>
      <c r="C59" s="119"/>
      <c r="D59" s="119"/>
      <c r="E59" s="119"/>
      <c r="F59" s="119"/>
      <c r="G59" s="119"/>
      <c r="H59" s="119"/>
      <c r="I59" s="119"/>
      <c r="J59" s="120"/>
      <c r="K59" s="118">
        <v>2</v>
      </c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20"/>
      <c r="W59" s="118">
        <v>3</v>
      </c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20"/>
      <c r="AK59" s="118">
        <v>4</v>
      </c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20"/>
      <c r="AY59" s="118">
        <v>5</v>
      </c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20"/>
      <c r="BO59" s="118">
        <v>6</v>
      </c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20"/>
      <c r="CC59" s="118">
        <v>7</v>
      </c>
      <c r="CD59" s="119"/>
      <c r="CE59" s="119"/>
      <c r="CF59" s="119"/>
      <c r="CG59" s="119"/>
      <c r="CH59" s="119"/>
      <c r="CI59" s="119"/>
      <c r="CJ59" s="119"/>
      <c r="CK59" s="119"/>
      <c r="CL59" s="119"/>
      <c r="CM59" s="119"/>
      <c r="CN59" s="119"/>
      <c r="CO59" s="120"/>
      <c r="CP59" s="118">
        <v>8</v>
      </c>
      <c r="CQ59" s="119"/>
      <c r="CR59" s="119"/>
      <c r="CS59" s="119"/>
      <c r="CT59" s="119"/>
      <c r="CU59" s="119"/>
      <c r="CV59" s="119"/>
      <c r="CW59" s="119"/>
      <c r="CX59" s="119"/>
      <c r="CY59" s="119"/>
      <c r="CZ59" s="119"/>
      <c r="DA59" s="119"/>
      <c r="DB59" s="119"/>
      <c r="DC59" s="119"/>
      <c r="DD59" s="118">
        <v>9</v>
      </c>
      <c r="DE59" s="119"/>
      <c r="DF59" s="119"/>
      <c r="DG59" s="119"/>
      <c r="DH59" s="119"/>
      <c r="DI59" s="119"/>
      <c r="DJ59" s="119"/>
      <c r="DK59" s="119"/>
      <c r="DL59" s="119"/>
      <c r="DM59" s="173"/>
      <c r="DN59" s="283">
        <v>1</v>
      </c>
      <c r="DO59" s="119"/>
      <c r="DP59" s="119"/>
      <c r="DQ59" s="119"/>
      <c r="DR59" s="119"/>
      <c r="DS59" s="119"/>
      <c r="DT59" s="119"/>
      <c r="DU59" s="119"/>
      <c r="DV59" s="119"/>
      <c r="DW59" s="119"/>
      <c r="DX59" s="119"/>
      <c r="DY59" s="119"/>
      <c r="DZ59" s="119"/>
      <c r="EA59" s="119"/>
      <c r="EB59" s="119"/>
      <c r="EC59" s="120"/>
      <c r="ED59" s="118">
        <v>2</v>
      </c>
      <c r="EE59" s="119"/>
      <c r="EF59" s="119"/>
      <c r="EG59" s="119"/>
      <c r="EH59" s="119"/>
      <c r="EI59" s="119"/>
      <c r="EJ59" s="119"/>
      <c r="EK59" s="119"/>
      <c r="EL59" s="119"/>
      <c r="EM59" s="120"/>
      <c r="EN59" s="118">
        <v>3</v>
      </c>
      <c r="EO59" s="119"/>
      <c r="EP59" s="119"/>
      <c r="EQ59" s="119"/>
      <c r="ER59" s="119"/>
      <c r="ES59" s="119"/>
      <c r="ET59" s="119"/>
      <c r="EU59" s="119"/>
      <c r="EV59" s="119"/>
      <c r="EW59" s="120"/>
      <c r="EX59" s="118">
        <v>4</v>
      </c>
      <c r="EY59" s="119"/>
      <c r="EZ59" s="119"/>
      <c r="FA59" s="119"/>
      <c r="FB59" s="119"/>
      <c r="FC59" s="119"/>
      <c r="FD59" s="119"/>
      <c r="FE59" s="120"/>
    </row>
    <row r="60" spans="1:161">
      <c r="A60" s="112" t="str">
        <f>+Itemdata_2.3!D3</f>
        <v xml:space="preserve"> -</v>
      </c>
      <c r="B60" s="113"/>
      <c r="C60" s="113"/>
      <c r="D60" s="113"/>
      <c r="E60" s="113"/>
      <c r="F60" s="113"/>
      <c r="G60" s="113"/>
      <c r="H60" s="113"/>
      <c r="I60" s="113"/>
      <c r="J60" s="121"/>
      <c r="K60" s="112" t="str">
        <f>+Itemdata_2.3!E3</f>
        <v>02.10.2006</v>
      </c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21"/>
      <c r="W60" s="112" t="str">
        <f>+Itemdata_2.3!F3</f>
        <v xml:space="preserve"> -</v>
      </c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21"/>
      <c r="AK60" s="112" t="str">
        <f>IF(OR(Itemdata_2.3!I3&lt;&gt;0,Itemdata_2.3!J3&lt;&gt;0),CONCATENATE(IF(Itemdata_2.3!I3&lt;&gt;0,CONCATENATE(Itemdata_2.3!I3," л "),""),IF(Itemdata_2.3!J3&lt;&gt;0,CONCATENATE(Itemdata_2.3!J3,"  мес"),"")),"-")</f>
        <v>-</v>
      </c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21"/>
      <c r="AY60" s="112" t="str">
        <f>IF(OR(Itemdata_2.3!K3&lt;&gt;0,Itemdata_2.3!L3&lt;&gt;0),CONCATENATE((SUM(PRODUCT(Itemdata_2.3!K3,12),Itemdata_2.3!L3)),"  мес"),"-")</f>
        <v>-</v>
      </c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21"/>
      <c r="BO60" s="112" t="str">
        <f>+Itemdata_2.3!G3</f>
        <v xml:space="preserve"> -</v>
      </c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21"/>
      <c r="CC60" s="112" t="str">
        <f>+Itemdata_2.3!H3</f>
        <v>-</v>
      </c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21"/>
      <c r="CP60" s="112" t="str">
        <f>+Itemdata_2.3!H4</f>
        <v>-</v>
      </c>
      <c r="CQ60" s="113"/>
      <c r="CR60" s="113"/>
      <c r="CS60" s="113"/>
      <c r="CT60" s="113"/>
      <c r="CU60" s="113"/>
      <c r="CV60" s="113"/>
      <c r="CW60" s="113"/>
      <c r="CX60" s="113"/>
      <c r="CY60" s="113"/>
      <c r="CZ60" s="113"/>
      <c r="DA60" s="113"/>
      <c r="DB60" s="113"/>
      <c r="DC60" s="113"/>
      <c r="DD60" s="118" t="s">
        <v>285</v>
      </c>
      <c r="DE60" s="119"/>
      <c r="DF60" s="119"/>
      <c r="DG60" s="119"/>
      <c r="DH60" s="119"/>
      <c r="DI60" s="119"/>
      <c r="DJ60" s="119"/>
      <c r="DK60" s="119"/>
      <c r="DL60" s="119"/>
      <c r="DM60" s="173"/>
      <c r="DN60" s="186">
        <f>+Itemdata_2.1!N3</f>
        <v>23858</v>
      </c>
      <c r="DO60" s="113"/>
      <c r="DP60" s="113"/>
      <c r="DQ60" s="113"/>
      <c r="DR60" s="113"/>
      <c r="DS60" s="113"/>
      <c r="DT60" s="113"/>
      <c r="DU60" s="113"/>
      <c r="DV60" s="113"/>
      <c r="DW60" s="113"/>
      <c r="DX60" s="113"/>
      <c r="DY60" s="113"/>
      <c r="DZ60" s="113"/>
      <c r="EA60" s="113"/>
      <c r="EB60" s="113"/>
      <c r="EC60" s="121"/>
      <c r="ED60" s="112" t="str">
        <f>IF(OR(Itemdata_2.1!H3&lt;&gt;0,Itemdata_2.1!J3&lt;&gt;0),CONCATENATE((SUM(PRODUCT(Itemdata_2.1!H3,12),Itemdata_2.1!J3)),"  мес"),"-")</f>
        <v>37  мес</v>
      </c>
      <c r="EE60" s="113"/>
      <c r="EF60" s="113"/>
      <c r="EG60" s="113"/>
      <c r="EH60" s="113"/>
      <c r="EI60" s="113"/>
      <c r="EJ60" s="113"/>
      <c r="EK60" s="113"/>
      <c r="EL60" s="113"/>
      <c r="EM60" s="121"/>
      <c r="EN60" s="286" t="str">
        <f>IF(OR(Itemdata_2.1!H3&lt;&gt;"",Itemdata_2.1!J3&lt;&gt;""),Itemdata_2.1!Q3,"-")</f>
        <v>линейный</v>
      </c>
      <c r="EO60" s="287"/>
      <c r="EP60" s="287"/>
      <c r="EQ60" s="287"/>
      <c r="ER60" s="287"/>
      <c r="ES60" s="287"/>
      <c r="ET60" s="287"/>
      <c r="EU60" s="287"/>
      <c r="EV60" s="287"/>
      <c r="EW60" s="288"/>
      <c r="EX60" s="169">
        <f>IF(OR(Itemdata_2.1!H3&lt;&gt;"",Itemdata_2.1!J3&lt;&gt;""),Itemdata_2.1!R3,"-")</f>
        <v>2.7029999999999998</v>
      </c>
      <c r="EY60" s="170"/>
      <c r="EZ60" s="170"/>
      <c r="FA60" s="170"/>
      <c r="FB60" s="170"/>
      <c r="FC60" s="170"/>
      <c r="FD60" s="170"/>
      <c r="FE60" s="171"/>
    </row>
    <row r="61" spans="1:161">
      <c r="A61" s="112" t="s">
        <v>361</v>
      </c>
      <c r="B61" s="113"/>
      <c r="C61" s="113"/>
      <c r="D61" s="113"/>
      <c r="E61" s="113"/>
      <c r="F61" s="113"/>
      <c r="G61" s="113"/>
      <c r="H61" s="113"/>
      <c r="I61" s="113"/>
      <c r="J61" s="121"/>
      <c r="K61" s="112" t="s">
        <v>361</v>
      </c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21"/>
      <c r="W61" s="112" t="s">
        <v>361</v>
      </c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21"/>
      <c r="AK61" s="112" t="str">
        <f>IF(OR(Itemdata_2.3!I5&lt;&gt;0,Itemdata_2.3!J5&lt;&gt;0),CONCATENATE(IF(Itemdata_2.3!I5&lt;&gt;0,CONCATENATE(Itemdata_2.3!I5," л "),""),IF(Itemdata_2.3!J5&lt;&gt;0,CONCATENATE(Itemdata_2.3!J5,"  мес"),"")),"-")</f>
        <v>-</v>
      </c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21"/>
      <c r="AY61" s="112" t="str">
        <f>IF(OR(Itemdata_2.3!K5&lt;&gt;0,Itemdata_2.3!L5&lt;&gt;0),CONCATENATE((SUM(PRODUCT(Itemdata_2.3!K5,12),Itemdata_2.3!L5)),"  мес"),"-")</f>
        <v>-</v>
      </c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21"/>
      <c r="BO61" s="112" t="str">
        <f>+Itemdata_2.3!G5</f>
        <v>-</v>
      </c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21"/>
      <c r="CC61" s="112" t="str">
        <f>+Itemdata_2.3!H5</f>
        <v>-</v>
      </c>
      <c r="CD61" s="113"/>
      <c r="CE61" s="113"/>
      <c r="CF61" s="113"/>
      <c r="CG61" s="113"/>
      <c r="CH61" s="113"/>
      <c r="CI61" s="113"/>
      <c r="CJ61" s="113"/>
      <c r="CK61" s="113"/>
      <c r="CL61" s="113"/>
      <c r="CM61" s="113"/>
      <c r="CN61" s="113"/>
      <c r="CO61" s="121"/>
      <c r="CP61" s="112" t="str">
        <f>+Itemdata_2.3!H6</f>
        <v>-</v>
      </c>
      <c r="CQ61" s="113"/>
      <c r="CR61" s="113"/>
      <c r="CS61" s="113"/>
      <c r="CT61" s="113"/>
      <c r="CU61" s="113"/>
      <c r="CV61" s="113"/>
      <c r="CW61" s="113"/>
      <c r="CX61" s="113"/>
      <c r="CY61" s="113"/>
      <c r="CZ61" s="113"/>
      <c r="DA61" s="113"/>
      <c r="DB61" s="113"/>
      <c r="DC61" s="113"/>
      <c r="DD61" s="118" t="s">
        <v>285</v>
      </c>
      <c r="DE61" s="119"/>
      <c r="DF61" s="119"/>
      <c r="DG61" s="119"/>
      <c r="DH61" s="119"/>
      <c r="DI61" s="119"/>
      <c r="DJ61" s="119"/>
      <c r="DK61" s="119"/>
      <c r="DL61" s="119"/>
      <c r="DM61" s="173"/>
      <c r="DN61" s="186">
        <f>+Itemdata_2.1!N4</f>
        <v>0</v>
      </c>
      <c r="DO61" s="113"/>
      <c r="DP61" s="113"/>
      <c r="DQ61" s="113"/>
      <c r="DR61" s="113"/>
      <c r="DS61" s="113"/>
      <c r="DT61" s="113"/>
      <c r="DU61" s="113"/>
      <c r="DV61" s="113"/>
      <c r="DW61" s="113"/>
      <c r="DX61" s="113"/>
      <c r="DY61" s="113"/>
      <c r="DZ61" s="113"/>
      <c r="EA61" s="113"/>
      <c r="EB61" s="113"/>
      <c r="EC61" s="121"/>
      <c r="ED61" s="112" t="str">
        <f>IF(OR(Itemdata_2.1!H4&lt;&gt;0,Itemdata_2.1!J4&lt;&gt;0),CONCATENATE((SUM(PRODUCT(Itemdata_2.1!H4,12),Itemdata_2.1!J4)),"  мес"),"-")</f>
        <v>37  мес</v>
      </c>
      <c r="EE61" s="113"/>
      <c r="EF61" s="113"/>
      <c r="EG61" s="113"/>
      <c r="EH61" s="113"/>
      <c r="EI61" s="113"/>
      <c r="EJ61" s="113"/>
      <c r="EK61" s="113"/>
      <c r="EL61" s="113"/>
      <c r="EM61" s="121"/>
      <c r="EN61" s="286" t="str">
        <f>IF(OR(Itemdata_2.1!H4&lt;&gt;"",Itemdata_2.1!J4&lt;&gt;""),Itemdata_2.1!Q4,"-")</f>
        <v>линейный</v>
      </c>
      <c r="EO61" s="287"/>
      <c r="EP61" s="287"/>
      <c r="EQ61" s="287"/>
      <c r="ER61" s="287"/>
      <c r="ES61" s="287"/>
      <c r="ET61" s="287"/>
      <c r="EU61" s="287"/>
      <c r="EV61" s="287"/>
      <c r="EW61" s="288"/>
      <c r="EX61" s="169">
        <f>IF(OR(Itemdata_2.1!H4&lt;&gt;"",Itemdata_2.1!J4&lt;&gt;""),Itemdata_2.1!R4,"-")</f>
        <v>2.7029999999999998</v>
      </c>
      <c r="EY61" s="170"/>
      <c r="EZ61" s="170"/>
      <c r="FA61" s="170"/>
      <c r="FB61" s="170"/>
      <c r="FC61" s="170"/>
      <c r="FD61" s="170"/>
      <c r="FE61" s="171"/>
    </row>
    <row r="62" spans="1:161">
      <c r="A62" s="86" t="s">
        <v>373</v>
      </c>
    </row>
    <row r="63" spans="1:161">
      <c r="A63" s="2" t="s">
        <v>72</v>
      </c>
    </row>
    <row r="64" spans="1:161">
      <c r="A64" s="118" t="s">
        <v>75</v>
      </c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M64" s="119"/>
      <c r="BN64" s="119"/>
      <c r="BO64" s="119"/>
      <c r="BP64" s="119"/>
      <c r="BQ64" s="119"/>
      <c r="BR64" s="119"/>
      <c r="BS64" s="120"/>
      <c r="BT64" s="118" t="s">
        <v>73</v>
      </c>
      <c r="BU64" s="119"/>
      <c r="BV64" s="119"/>
      <c r="BW64" s="119"/>
      <c r="BX64" s="119"/>
      <c r="BY64" s="119"/>
      <c r="BZ64" s="119"/>
      <c r="CA64" s="119"/>
      <c r="CB64" s="119"/>
      <c r="CC64" s="119"/>
      <c r="CD64" s="119"/>
      <c r="CE64" s="119"/>
      <c r="CF64" s="119"/>
      <c r="CG64" s="119"/>
      <c r="CH64" s="119"/>
      <c r="CI64" s="119"/>
      <c r="CJ64" s="119"/>
      <c r="CK64" s="119"/>
      <c r="CL64" s="119"/>
      <c r="CM64" s="119"/>
      <c r="CN64" s="119"/>
      <c r="CO64" s="119"/>
      <c r="CP64" s="119"/>
      <c r="CQ64" s="119"/>
      <c r="CR64" s="119"/>
      <c r="CS64" s="119"/>
      <c r="CT64" s="119"/>
      <c r="CU64" s="119"/>
      <c r="CV64" s="119"/>
      <c r="CW64" s="119"/>
      <c r="CX64" s="119"/>
      <c r="CY64" s="119"/>
      <c r="CZ64" s="119"/>
      <c r="DA64" s="119"/>
      <c r="DB64" s="119"/>
      <c r="DC64" s="119"/>
      <c r="DD64" s="119"/>
      <c r="DE64" s="119"/>
      <c r="DF64" s="119"/>
      <c r="DG64" s="119"/>
      <c r="DH64" s="119"/>
      <c r="DI64" s="119"/>
      <c r="DJ64" s="119"/>
      <c r="DK64" s="119"/>
      <c r="DL64" s="119"/>
      <c r="DM64" s="119"/>
      <c r="DN64" s="119"/>
      <c r="DO64" s="119"/>
      <c r="DP64" s="119"/>
      <c r="DQ64" s="119"/>
      <c r="DR64" s="119"/>
      <c r="DS64" s="119"/>
      <c r="DT64" s="119"/>
      <c r="DU64" s="119"/>
      <c r="DV64" s="119"/>
      <c r="DW64" s="119"/>
      <c r="DX64" s="119"/>
      <c r="DY64" s="119"/>
      <c r="DZ64" s="119"/>
      <c r="EA64" s="119"/>
      <c r="EB64" s="119"/>
      <c r="EC64" s="119"/>
      <c r="ED64" s="119"/>
      <c r="EE64" s="119"/>
      <c r="EF64" s="119"/>
      <c r="EG64" s="119"/>
      <c r="EH64" s="119"/>
      <c r="EI64" s="119"/>
      <c r="EJ64" s="119"/>
      <c r="EK64" s="119"/>
      <c r="EL64" s="119"/>
      <c r="EM64" s="119"/>
      <c r="EN64" s="119"/>
      <c r="EO64" s="119"/>
      <c r="EP64" s="119"/>
      <c r="EQ64" s="119"/>
      <c r="ER64" s="119"/>
      <c r="ES64" s="119"/>
      <c r="ET64" s="119"/>
      <c r="EU64" s="119"/>
      <c r="EV64" s="119"/>
      <c r="EW64" s="119"/>
      <c r="EX64" s="119"/>
      <c r="EY64" s="119"/>
      <c r="EZ64" s="119"/>
      <c r="FA64" s="119"/>
      <c r="FB64" s="119"/>
      <c r="FC64" s="119"/>
      <c r="FD64" s="119"/>
      <c r="FE64" s="120"/>
    </row>
    <row r="65" spans="1:161" ht="26.25" customHeight="1">
      <c r="A65" s="166" t="s">
        <v>44</v>
      </c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  <c r="BC65" s="167"/>
      <c r="BD65" s="167"/>
      <c r="BE65" s="167"/>
      <c r="BF65" s="168"/>
      <c r="BG65" s="166" t="s">
        <v>48</v>
      </c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8"/>
      <c r="BT65" s="166" t="s">
        <v>74</v>
      </c>
      <c r="BU65" s="167"/>
      <c r="BV65" s="167"/>
      <c r="BW65" s="167"/>
      <c r="BX65" s="167"/>
      <c r="BY65" s="167"/>
      <c r="BZ65" s="167"/>
      <c r="CA65" s="167"/>
      <c r="CB65" s="167"/>
      <c r="CC65" s="167"/>
      <c r="CD65" s="167"/>
      <c r="CE65" s="167"/>
      <c r="CF65" s="167"/>
      <c r="CG65" s="167"/>
      <c r="CH65" s="167"/>
      <c r="CI65" s="167"/>
      <c r="CJ65" s="167"/>
      <c r="CK65" s="167"/>
      <c r="CL65" s="167"/>
      <c r="CM65" s="167"/>
      <c r="CN65" s="167"/>
      <c r="CO65" s="167"/>
      <c r="CP65" s="167"/>
      <c r="CQ65" s="167"/>
      <c r="CR65" s="167"/>
      <c r="CS65" s="167"/>
      <c r="CT65" s="167"/>
      <c r="CU65" s="167"/>
      <c r="CV65" s="167"/>
      <c r="CW65" s="168"/>
      <c r="CX65" s="166" t="s">
        <v>76</v>
      </c>
      <c r="CY65" s="167"/>
      <c r="CZ65" s="167"/>
      <c r="DA65" s="167"/>
      <c r="DB65" s="167"/>
      <c r="DC65" s="167"/>
      <c r="DD65" s="167"/>
      <c r="DE65" s="167"/>
      <c r="DF65" s="167"/>
      <c r="DG65" s="167"/>
      <c r="DH65" s="167"/>
      <c r="DI65" s="167"/>
      <c r="DJ65" s="167"/>
      <c r="DK65" s="167"/>
      <c r="DL65" s="167"/>
      <c r="DM65" s="167"/>
      <c r="DN65" s="167"/>
      <c r="DO65" s="167"/>
      <c r="DP65" s="167"/>
      <c r="DQ65" s="167"/>
      <c r="DR65" s="168"/>
      <c r="DS65" s="166" t="s">
        <v>47</v>
      </c>
      <c r="DT65" s="167"/>
      <c r="DU65" s="167"/>
      <c r="DV65" s="167"/>
      <c r="DW65" s="167"/>
      <c r="DX65" s="167"/>
      <c r="DY65" s="167"/>
      <c r="DZ65" s="167"/>
      <c r="EA65" s="167"/>
      <c r="EB65" s="167"/>
      <c r="EC65" s="167"/>
      <c r="ED65" s="167"/>
      <c r="EE65" s="167"/>
      <c r="EF65" s="168"/>
      <c r="EG65" s="166" t="s">
        <v>48</v>
      </c>
      <c r="EH65" s="167"/>
      <c r="EI65" s="167"/>
      <c r="EJ65" s="167"/>
      <c r="EK65" s="167"/>
      <c r="EL65" s="167"/>
      <c r="EM65" s="167"/>
      <c r="EN65" s="167"/>
      <c r="EO65" s="167"/>
      <c r="EP65" s="167"/>
      <c r="EQ65" s="167"/>
      <c r="ER65" s="167"/>
      <c r="ES65" s="168"/>
      <c r="ET65" s="166" t="s">
        <v>49</v>
      </c>
      <c r="EU65" s="167"/>
      <c r="EV65" s="167"/>
      <c r="EW65" s="167"/>
      <c r="EX65" s="167"/>
      <c r="EY65" s="167"/>
      <c r="EZ65" s="167"/>
      <c r="FA65" s="167"/>
      <c r="FB65" s="167"/>
      <c r="FC65" s="167"/>
      <c r="FD65" s="167"/>
      <c r="FE65" s="168"/>
    </row>
    <row r="66" spans="1:161">
      <c r="A66" s="118">
        <v>1</v>
      </c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20"/>
      <c r="BG66" s="118">
        <v>2</v>
      </c>
      <c r="BH66" s="119"/>
      <c r="BI66" s="119"/>
      <c r="BJ66" s="119"/>
      <c r="BK66" s="119"/>
      <c r="BL66" s="119"/>
      <c r="BM66" s="119"/>
      <c r="BN66" s="119"/>
      <c r="BO66" s="119"/>
      <c r="BP66" s="119"/>
      <c r="BQ66" s="119"/>
      <c r="BR66" s="119"/>
      <c r="BS66" s="120"/>
      <c r="BT66" s="118">
        <v>3</v>
      </c>
      <c r="BU66" s="119"/>
      <c r="BV66" s="119"/>
      <c r="BW66" s="119"/>
      <c r="BX66" s="119"/>
      <c r="BY66" s="119"/>
      <c r="BZ66" s="119"/>
      <c r="CA66" s="119"/>
      <c r="CB66" s="119"/>
      <c r="CC66" s="119"/>
      <c r="CD66" s="119"/>
      <c r="CE66" s="119"/>
      <c r="CF66" s="119"/>
      <c r="CG66" s="119"/>
      <c r="CH66" s="119"/>
      <c r="CI66" s="119"/>
      <c r="CJ66" s="119"/>
      <c r="CK66" s="119"/>
      <c r="CL66" s="119"/>
      <c r="CM66" s="119"/>
      <c r="CN66" s="119"/>
      <c r="CO66" s="119"/>
      <c r="CP66" s="119"/>
      <c r="CQ66" s="119"/>
      <c r="CR66" s="119"/>
      <c r="CS66" s="119"/>
      <c r="CT66" s="119"/>
      <c r="CU66" s="119"/>
      <c r="CV66" s="119"/>
      <c r="CW66" s="120"/>
      <c r="CX66" s="194">
        <v>4</v>
      </c>
      <c r="CY66" s="195"/>
      <c r="CZ66" s="195"/>
      <c r="DA66" s="195"/>
      <c r="DB66" s="195"/>
      <c r="DC66" s="195"/>
      <c r="DD66" s="195"/>
      <c r="DE66" s="195"/>
      <c r="DF66" s="195"/>
      <c r="DG66" s="195"/>
      <c r="DH66" s="195"/>
      <c r="DI66" s="195"/>
      <c r="DJ66" s="195"/>
      <c r="DK66" s="195"/>
      <c r="DL66" s="195"/>
      <c r="DM66" s="195"/>
      <c r="DN66" s="195"/>
      <c r="DO66" s="195"/>
      <c r="DP66" s="195"/>
      <c r="DQ66" s="195"/>
      <c r="DR66" s="196"/>
      <c r="DS66" s="194">
        <v>5</v>
      </c>
      <c r="DT66" s="195"/>
      <c r="DU66" s="195"/>
      <c r="DV66" s="195"/>
      <c r="DW66" s="195"/>
      <c r="DX66" s="195"/>
      <c r="DY66" s="195"/>
      <c r="DZ66" s="195"/>
      <c r="EA66" s="195"/>
      <c r="EB66" s="195"/>
      <c r="EC66" s="195"/>
      <c r="ED66" s="195"/>
      <c r="EE66" s="195"/>
      <c r="EF66" s="196"/>
      <c r="EG66" s="194">
        <v>6</v>
      </c>
      <c r="EH66" s="195"/>
      <c r="EI66" s="195"/>
      <c r="EJ66" s="195"/>
      <c r="EK66" s="195"/>
      <c r="EL66" s="195"/>
      <c r="EM66" s="195"/>
      <c r="EN66" s="195"/>
      <c r="EO66" s="195"/>
      <c r="EP66" s="195"/>
      <c r="EQ66" s="195"/>
      <c r="ER66" s="195"/>
      <c r="ES66" s="196"/>
      <c r="ET66" s="194">
        <v>7</v>
      </c>
      <c r="EU66" s="195"/>
      <c r="EV66" s="195"/>
      <c r="EW66" s="195"/>
      <c r="EX66" s="195"/>
      <c r="EY66" s="195"/>
      <c r="EZ66" s="195"/>
      <c r="FA66" s="195"/>
      <c r="FB66" s="195"/>
      <c r="FC66" s="195"/>
      <c r="FD66" s="195"/>
      <c r="FE66" s="196"/>
    </row>
    <row r="67" spans="1:161">
      <c r="A67" s="180" t="str">
        <f>+Itemdata_2.2!A3</f>
        <v>-</v>
      </c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182"/>
      <c r="BG67" s="118" t="str">
        <f>+Itemdata_2.2!B3</f>
        <v>-</v>
      </c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20"/>
      <c r="BT67" s="180" t="str">
        <f>+Itemdata_2.2!C3</f>
        <v>-</v>
      </c>
      <c r="BU67" s="181"/>
      <c r="BV67" s="181"/>
      <c r="BW67" s="181"/>
      <c r="BX67" s="181"/>
      <c r="BY67" s="181"/>
      <c r="BZ67" s="181"/>
      <c r="CA67" s="181"/>
      <c r="CB67" s="181"/>
      <c r="CC67" s="181"/>
      <c r="CD67" s="181"/>
      <c r="CE67" s="181"/>
      <c r="CF67" s="181"/>
      <c r="CG67" s="181"/>
      <c r="CH67" s="181"/>
      <c r="CI67" s="181"/>
      <c r="CJ67" s="181"/>
      <c r="CK67" s="181"/>
      <c r="CL67" s="181"/>
      <c r="CM67" s="181"/>
      <c r="CN67" s="181"/>
      <c r="CO67" s="181"/>
      <c r="CP67" s="181"/>
      <c r="CQ67" s="181"/>
      <c r="CR67" s="181"/>
      <c r="CS67" s="181"/>
      <c r="CT67" s="181"/>
      <c r="CU67" s="181"/>
      <c r="CV67" s="181"/>
      <c r="CW67" s="182"/>
      <c r="CX67" s="174" t="str">
        <f>+Itemdata_2.2!D3</f>
        <v>-</v>
      </c>
      <c r="CY67" s="175"/>
      <c r="CZ67" s="175"/>
      <c r="DA67" s="175"/>
      <c r="DB67" s="175"/>
      <c r="DC67" s="175"/>
      <c r="DD67" s="175"/>
      <c r="DE67" s="175"/>
      <c r="DF67" s="175"/>
      <c r="DG67" s="175"/>
      <c r="DH67" s="175"/>
      <c r="DI67" s="175"/>
      <c r="DJ67" s="175"/>
      <c r="DK67" s="175"/>
      <c r="DL67" s="175"/>
      <c r="DM67" s="175"/>
      <c r="DN67" s="175"/>
      <c r="DO67" s="175"/>
      <c r="DP67" s="175"/>
      <c r="DQ67" s="175"/>
      <c r="DR67" s="176"/>
      <c r="DS67" s="177" t="str">
        <f>+Itemdata_2.2!E3</f>
        <v>-</v>
      </c>
      <c r="DT67" s="178"/>
      <c r="DU67" s="178"/>
      <c r="DV67" s="178"/>
      <c r="DW67" s="178"/>
      <c r="DX67" s="178"/>
      <c r="DY67" s="178"/>
      <c r="DZ67" s="178"/>
      <c r="EA67" s="178"/>
      <c r="EB67" s="178"/>
      <c r="EC67" s="178"/>
      <c r="ED67" s="178"/>
      <c r="EE67" s="178"/>
      <c r="EF67" s="179"/>
      <c r="EG67" s="177" t="str">
        <f>+Itemdata_2.2!F3</f>
        <v>-</v>
      </c>
      <c r="EH67" s="178"/>
      <c r="EI67" s="178"/>
      <c r="EJ67" s="178"/>
      <c r="EK67" s="178"/>
      <c r="EL67" s="178"/>
      <c r="EM67" s="178"/>
      <c r="EN67" s="178"/>
      <c r="EO67" s="178"/>
      <c r="EP67" s="178"/>
      <c r="EQ67" s="178"/>
      <c r="ER67" s="178"/>
      <c r="ES67" s="179"/>
      <c r="ET67" s="177" t="str">
        <f>+Itemdata_2.2!G3</f>
        <v>-</v>
      </c>
      <c r="EU67" s="178"/>
      <c r="EV67" s="178"/>
      <c r="EW67" s="178"/>
      <c r="EX67" s="178"/>
      <c r="EY67" s="178"/>
      <c r="EZ67" s="178"/>
      <c r="FA67" s="178"/>
      <c r="FB67" s="178"/>
      <c r="FC67" s="178"/>
      <c r="FD67" s="178"/>
      <c r="FE67" s="179"/>
    </row>
    <row r="68" spans="1:161">
      <c r="A68" s="180" t="str">
        <f>+Itemdata_2.2!A4</f>
        <v>-</v>
      </c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I68" s="181"/>
      <c r="AJ68" s="181"/>
      <c r="AK68" s="181"/>
      <c r="AL68" s="181"/>
      <c r="AM68" s="181"/>
      <c r="AN68" s="181"/>
      <c r="AO68" s="181"/>
      <c r="AP68" s="181"/>
      <c r="AQ68" s="181"/>
      <c r="AR68" s="181"/>
      <c r="AS68" s="181"/>
      <c r="AT68" s="181"/>
      <c r="AU68" s="181"/>
      <c r="AV68" s="181"/>
      <c r="AW68" s="181"/>
      <c r="AX68" s="181"/>
      <c r="AY68" s="181"/>
      <c r="AZ68" s="181"/>
      <c r="BA68" s="181"/>
      <c r="BB68" s="181"/>
      <c r="BC68" s="181"/>
      <c r="BD68" s="181"/>
      <c r="BE68" s="181"/>
      <c r="BF68" s="182"/>
      <c r="BG68" s="118" t="str">
        <f>+Itemdata_2.2!B4</f>
        <v>-</v>
      </c>
      <c r="BH68" s="119"/>
      <c r="BI68" s="119"/>
      <c r="BJ68" s="119"/>
      <c r="BK68" s="119"/>
      <c r="BL68" s="119"/>
      <c r="BM68" s="119"/>
      <c r="BN68" s="119"/>
      <c r="BO68" s="119"/>
      <c r="BP68" s="119"/>
      <c r="BQ68" s="119"/>
      <c r="BR68" s="119"/>
      <c r="BS68" s="120"/>
      <c r="BT68" s="180" t="str">
        <f>+Itemdata_2.2!C4</f>
        <v>-</v>
      </c>
      <c r="BU68" s="181"/>
      <c r="BV68" s="181"/>
      <c r="BW68" s="181"/>
      <c r="BX68" s="181"/>
      <c r="BY68" s="181"/>
      <c r="BZ68" s="181"/>
      <c r="CA68" s="181"/>
      <c r="CB68" s="181"/>
      <c r="CC68" s="181"/>
      <c r="CD68" s="181"/>
      <c r="CE68" s="181"/>
      <c r="CF68" s="181"/>
      <c r="CG68" s="181"/>
      <c r="CH68" s="181"/>
      <c r="CI68" s="181"/>
      <c r="CJ68" s="181"/>
      <c r="CK68" s="181"/>
      <c r="CL68" s="181"/>
      <c r="CM68" s="181"/>
      <c r="CN68" s="181"/>
      <c r="CO68" s="181"/>
      <c r="CP68" s="181"/>
      <c r="CQ68" s="181"/>
      <c r="CR68" s="181"/>
      <c r="CS68" s="181"/>
      <c r="CT68" s="181"/>
      <c r="CU68" s="181"/>
      <c r="CV68" s="181"/>
      <c r="CW68" s="182"/>
      <c r="CX68" s="174" t="str">
        <f>+Itemdata_2.2!D4</f>
        <v>-</v>
      </c>
      <c r="CY68" s="175"/>
      <c r="CZ68" s="175"/>
      <c r="DA68" s="175"/>
      <c r="DB68" s="175"/>
      <c r="DC68" s="175"/>
      <c r="DD68" s="175"/>
      <c r="DE68" s="175"/>
      <c r="DF68" s="175"/>
      <c r="DG68" s="175"/>
      <c r="DH68" s="175"/>
      <c r="DI68" s="175"/>
      <c r="DJ68" s="175"/>
      <c r="DK68" s="175"/>
      <c r="DL68" s="175"/>
      <c r="DM68" s="175"/>
      <c r="DN68" s="175"/>
      <c r="DO68" s="175"/>
      <c r="DP68" s="175"/>
      <c r="DQ68" s="175"/>
      <c r="DR68" s="176"/>
      <c r="DS68" s="177" t="str">
        <f>+Itemdata_2.2!E4</f>
        <v>-</v>
      </c>
      <c r="DT68" s="178"/>
      <c r="DU68" s="178"/>
      <c r="DV68" s="178"/>
      <c r="DW68" s="178"/>
      <c r="DX68" s="178"/>
      <c r="DY68" s="178"/>
      <c r="DZ68" s="178"/>
      <c r="EA68" s="178"/>
      <c r="EB68" s="178"/>
      <c r="EC68" s="178"/>
      <c r="ED68" s="178"/>
      <c r="EE68" s="178"/>
      <c r="EF68" s="179"/>
      <c r="EG68" s="177" t="str">
        <f>+Itemdata_2.2!F4</f>
        <v>-</v>
      </c>
      <c r="EH68" s="178"/>
      <c r="EI68" s="178"/>
      <c r="EJ68" s="178"/>
      <c r="EK68" s="178"/>
      <c r="EL68" s="178"/>
      <c r="EM68" s="178"/>
      <c r="EN68" s="178"/>
      <c r="EO68" s="178"/>
      <c r="EP68" s="178"/>
      <c r="EQ68" s="178"/>
      <c r="ER68" s="178"/>
      <c r="ES68" s="179"/>
      <c r="ET68" s="177" t="str">
        <f>+Itemdata_2.2!G4</f>
        <v>-</v>
      </c>
      <c r="EU68" s="178"/>
      <c r="EV68" s="178"/>
      <c r="EW68" s="178"/>
      <c r="EX68" s="178"/>
      <c r="EY68" s="178"/>
      <c r="EZ68" s="178"/>
      <c r="FA68" s="178"/>
      <c r="FB68" s="178"/>
      <c r="FC68" s="178"/>
      <c r="FD68" s="178"/>
      <c r="FE68" s="179"/>
    </row>
    <row r="69" spans="1:161">
      <c r="A69" s="180" t="str">
        <f>+Itemdata_2.2!A5</f>
        <v>-</v>
      </c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  <c r="AJ69" s="181"/>
      <c r="AK69" s="181"/>
      <c r="AL69" s="181"/>
      <c r="AM69" s="181"/>
      <c r="AN69" s="181"/>
      <c r="AO69" s="181"/>
      <c r="AP69" s="181"/>
      <c r="AQ69" s="181"/>
      <c r="AR69" s="181"/>
      <c r="AS69" s="181"/>
      <c r="AT69" s="181"/>
      <c r="AU69" s="181"/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2"/>
      <c r="BG69" s="118" t="str">
        <f>+Itemdata_2.2!B5</f>
        <v>-</v>
      </c>
      <c r="BH69" s="119"/>
      <c r="BI69" s="119"/>
      <c r="BJ69" s="119"/>
      <c r="BK69" s="119"/>
      <c r="BL69" s="119"/>
      <c r="BM69" s="119"/>
      <c r="BN69" s="119"/>
      <c r="BO69" s="119"/>
      <c r="BP69" s="119"/>
      <c r="BQ69" s="119"/>
      <c r="BR69" s="119"/>
      <c r="BS69" s="120"/>
      <c r="BT69" s="180" t="str">
        <f>+Itemdata_2.2!C5</f>
        <v>-</v>
      </c>
      <c r="BU69" s="181"/>
      <c r="BV69" s="181"/>
      <c r="BW69" s="181"/>
      <c r="BX69" s="181"/>
      <c r="BY69" s="181"/>
      <c r="BZ69" s="181"/>
      <c r="CA69" s="181"/>
      <c r="CB69" s="181"/>
      <c r="CC69" s="181"/>
      <c r="CD69" s="181"/>
      <c r="CE69" s="181"/>
      <c r="CF69" s="181"/>
      <c r="CG69" s="181"/>
      <c r="CH69" s="181"/>
      <c r="CI69" s="181"/>
      <c r="CJ69" s="181"/>
      <c r="CK69" s="181"/>
      <c r="CL69" s="181"/>
      <c r="CM69" s="181"/>
      <c r="CN69" s="181"/>
      <c r="CO69" s="181"/>
      <c r="CP69" s="181"/>
      <c r="CQ69" s="181"/>
      <c r="CR69" s="181"/>
      <c r="CS69" s="181"/>
      <c r="CT69" s="181"/>
      <c r="CU69" s="181"/>
      <c r="CV69" s="181"/>
      <c r="CW69" s="182"/>
      <c r="CX69" s="174" t="str">
        <f>+Itemdata_2.2!D5</f>
        <v>-</v>
      </c>
      <c r="CY69" s="175"/>
      <c r="CZ69" s="175"/>
      <c r="DA69" s="175"/>
      <c r="DB69" s="175"/>
      <c r="DC69" s="175"/>
      <c r="DD69" s="175"/>
      <c r="DE69" s="175"/>
      <c r="DF69" s="175"/>
      <c r="DG69" s="175"/>
      <c r="DH69" s="175"/>
      <c r="DI69" s="175"/>
      <c r="DJ69" s="175"/>
      <c r="DK69" s="175"/>
      <c r="DL69" s="175"/>
      <c r="DM69" s="175"/>
      <c r="DN69" s="175"/>
      <c r="DO69" s="175"/>
      <c r="DP69" s="175"/>
      <c r="DQ69" s="175"/>
      <c r="DR69" s="176"/>
      <c r="DS69" s="177" t="str">
        <f>+Itemdata_2.2!E5</f>
        <v>-</v>
      </c>
      <c r="DT69" s="178"/>
      <c r="DU69" s="178"/>
      <c r="DV69" s="178"/>
      <c r="DW69" s="178"/>
      <c r="DX69" s="178"/>
      <c r="DY69" s="178"/>
      <c r="DZ69" s="178"/>
      <c r="EA69" s="178"/>
      <c r="EB69" s="178"/>
      <c r="EC69" s="178"/>
      <c r="ED69" s="178"/>
      <c r="EE69" s="178"/>
      <c r="EF69" s="179"/>
      <c r="EG69" s="177" t="str">
        <f>+Itemdata_2.2!F5</f>
        <v>-</v>
      </c>
      <c r="EH69" s="178"/>
      <c r="EI69" s="178"/>
      <c r="EJ69" s="178"/>
      <c r="EK69" s="178"/>
      <c r="EL69" s="178"/>
      <c r="EM69" s="178"/>
      <c r="EN69" s="178"/>
      <c r="EO69" s="178"/>
      <c r="EP69" s="178"/>
      <c r="EQ69" s="178"/>
      <c r="ER69" s="178"/>
      <c r="ES69" s="179"/>
      <c r="ET69" s="177" t="str">
        <f>+Itemdata_2.2!G5</f>
        <v>-</v>
      </c>
      <c r="EU69" s="178"/>
      <c r="EV69" s="178"/>
      <c r="EW69" s="178"/>
      <c r="EX69" s="178"/>
      <c r="EY69" s="178"/>
      <c r="EZ69" s="178"/>
      <c r="FA69" s="178"/>
      <c r="FB69" s="178"/>
      <c r="FC69" s="178"/>
      <c r="FD69" s="178"/>
      <c r="FE69" s="179"/>
    </row>
    <row r="70" spans="1:161">
      <c r="A70" s="180" t="str">
        <f>+Itemdata_2.2!A6</f>
        <v>-</v>
      </c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I70" s="181"/>
      <c r="AJ70" s="181"/>
      <c r="AK70" s="181"/>
      <c r="AL70" s="181"/>
      <c r="AM70" s="181"/>
      <c r="AN70" s="181"/>
      <c r="AO70" s="181"/>
      <c r="AP70" s="181"/>
      <c r="AQ70" s="181"/>
      <c r="AR70" s="181"/>
      <c r="AS70" s="181"/>
      <c r="AT70" s="181"/>
      <c r="AU70" s="181"/>
      <c r="AV70" s="181"/>
      <c r="AW70" s="181"/>
      <c r="AX70" s="181"/>
      <c r="AY70" s="181"/>
      <c r="AZ70" s="181"/>
      <c r="BA70" s="181"/>
      <c r="BB70" s="181"/>
      <c r="BC70" s="181"/>
      <c r="BD70" s="181"/>
      <c r="BE70" s="181"/>
      <c r="BF70" s="182"/>
      <c r="BG70" s="118" t="str">
        <f>+Itemdata_2.2!B6</f>
        <v>-</v>
      </c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20"/>
      <c r="BT70" s="180" t="str">
        <f>+Itemdata_2.2!C6</f>
        <v>-</v>
      </c>
      <c r="BU70" s="181"/>
      <c r="BV70" s="181"/>
      <c r="BW70" s="181"/>
      <c r="BX70" s="181"/>
      <c r="BY70" s="181"/>
      <c r="BZ70" s="181"/>
      <c r="CA70" s="181"/>
      <c r="CB70" s="181"/>
      <c r="CC70" s="181"/>
      <c r="CD70" s="181"/>
      <c r="CE70" s="181"/>
      <c r="CF70" s="181"/>
      <c r="CG70" s="181"/>
      <c r="CH70" s="181"/>
      <c r="CI70" s="181"/>
      <c r="CJ70" s="181"/>
      <c r="CK70" s="181"/>
      <c r="CL70" s="181"/>
      <c r="CM70" s="181"/>
      <c r="CN70" s="181"/>
      <c r="CO70" s="181"/>
      <c r="CP70" s="181"/>
      <c r="CQ70" s="181"/>
      <c r="CR70" s="181"/>
      <c r="CS70" s="181"/>
      <c r="CT70" s="181"/>
      <c r="CU70" s="181"/>
      <c r="CV70" s="181"/>
      <c r="CW70" s="182"/>
      <c r="CX70" s="174" t="str">
        <f>+Itemdata_2.2!D6</f>
        <v>-</v>
      </c>
      <c r="CY70" s="175"/>
      <c r="CZ70" s="175"/>
      <c r="DA70" s="175"/>
      <c r="DB70" s="175"/>
      <c r="DC70" s="175"/>
      <c r="DD70" s="175"/>
      <c r="DE70" s="175"/>
      <c r="DF70" s="175"/>
      <c r="DG70" s="175"/>
      <c r="DH70" s="175"/>
      <c r="DI70" s="175"/>
      <c r="DJ70" s="175"/>
      <c r="DK70" s="175"/>
      <c r="DL70" s="175"/>
      <c r="DM70" s="175"/>
      <c r="DN70" s="175"/>
      <c r="DO70" s="175"/>
      <c r="DP70" s="175"/>
      <c r="DQ70" s="175"/>
      <c r="DR70" s="176"/>
      <c r="DS70" s="177" t="str">
        <f>+Itemdata_2.2!E6</f>
        <v>-</v>
      </c>
      <c r="DT70" s="178"/>
      <c r="DU70" s="178"/>
      <c r="DV70" s="178"/>
      <c r="DW70" s="178"/>
      <c r="DX70" s="178"/>
      <c r="DY70" s="178"/>
      <c r="DZ70" s="178"/>
      <c r="EA70" s="178"/>
      <c r="EB70" s="178"/>
      <c r="EC70" s="178"/>
      <c r="ED70" s="178"/>
      <c r="EE70" s="178"/>
      <c r="EF70" s="179"/>
      <c r="EG70" s="177" t="str">
        <f>+Itemdata_2.2!F6</f>
        <v>-</v>
      </c>
      <c r="EH70" s="178"/>
      <c r="EI70" s="178"/>
      <c r="EJ70" s="178"/>
      <c r="EK70" s="178"/>
      <c r="EL70" s="178"/>
      <c r="EM70" s="178"/>
      <c r="EN70" s="178"/>
      <c r="EO70" s="178"/>
      <c r="EP70" s="178"/>
      <c r="EQ70" s="178"/>
      <c r="ER70" s="178"/>
      <c r="ES70" s="179"/>
      <c r="ET70" s="177" t="str">
        <f>+Itemdata_2.2!G6</f>
        <v>-</v>
      </c>
      <c r="EU70" s="178"/>
      <c r="EV70" s="178"/>
      <c r="EW70" s="178"/>
      <c r="EX70" s="178"/>
      <c r="EY70" s="178"/>
      <c r="EZ70" s="178"/>
      <c r="FA70" s="178"/>
      <c r="FB70" s="178"/>
      <c r="FC70" s="178"/>
      <c r="FD70" s="178"/>
      <c r="FE70" s="179"/>
    </row>
    <row r="71" spans="1:161">
      <c r="A71" s="180" t="str">
        <f>+Itemdata_2.2!A7</f>
        <v>-</v>
      </c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  <c r="AJ71" s="181"/>
      <c r="AK71" s="181"/>
      <c r="AL71" s="181"/>
      <c r="AM71" s="181"/>
      <c r="AN71" s="181"/>
      <c r="AO71" s="181"/>
      <c r="AP71" s="181"/>
      <c r="AQ71" s="181"/>
      <c r="AR71" s="181"/>
      <c r="AS71" s="181"/>
      <c r="AT71" s="181"/>
      <c r="AU71" s="181"/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2"/>
      <c r="BG71" s="118" t="str">
        <f>+Itemdata_2.2!B7</f>
        <v>-</v>
      </c>
      <c r="BH71" s="119"/>
      <c r="BI71" s="119"/>
      <c r="BJ71" s="119"/>
      <c r="BK71" s="119"/>
      <c r="BL71" s="119"/>
      <c r="BM71" s="119"/>
      <c r="BN71" s="119"/>
      <c r="BO71" s="119"/>
      <c r="BP71" s="119"/>
      <c r="BQ71" s="119"/>
      <c r="BR71" s="119"/>
      <c r="BS71" s="120"/>
      <c r="BT71" s="180" t="str">
        <f>+Itemdata_2.2!C7</f>
        <v>-</v>
      </c>
      <c r="BU71" s="181"/>
      <c r="BV71" s="181"/>
      <c r="BW71" s="181"/>
      <c r="BX71" s="181"/>
      <c r="BY71" s="181"/>
      <c r="BZ71" s="181"/>
      <c r="CA71" s="181"/>
      <c r="CB71" s="181"/>
      <c r="CC71" s="181"/>
      <c r="CD71" s="181"/>
      <c r="CE71" s="181"/>
      <c r="CF71" s="181"/>
      <c r="CG71" s="181"/>
      <c r="CH71" s="181"/>
      <c r="CI71" s="181"/>
      <c r="CJ71" s="181"/>
      <c r="CK71" s="181"/>
      <c r="CL71" s="181"/>
      <c r="CM71" s="181"/>
      <c r="CN71" s="181"/>
      <c r="CO71" s="181"/>
      <c r="CP71" s="181"/>
      <c r="CQ71" s="181"/>
      <c r="CR71" s="181"/>
      <c r="CS71" s="181"/>
      <c r="CT71" s="181"/>
      <c r="CU71" s="181"/>
      <c r="CV71" s="181"/>
      <c r="CW71" s="182"/>
      <c r="CX71" s="174" t="str">
        <f>+Itemdata_2.2!D7</f>
        <v>-</v>
      </c>
      <c r="CY71" s="175"/>
      <c r="CZ71" s="175"/>
      <c r="DA71" s="175"/>
      <c r="DB71" s="175"/>
      <c r="DC71" s="175"/>
      <c r="DD71" s="175"/>
      <c r="DE71" s="175"/>
      <c r="DF71" s="175"/>
      <c r="DG71" s="175"/>
      <c r="DH71" s="175"/>
      <c r="DI71" s="175"/>
      <c r="DJ71" s="175"/>
      <c r="DK71" s="175"/>
      <c r="DL71" s="175"/>
      <c r="DM71" s="175"/>
      <c r="DN71" s="175"/>
      <c r="DO71" s="175"/>
      <c r="DP71" s="175"/>
      <c r="DQ71" s="175"/>
      <c r="DR71" s="176"/>
      <c r="DS71" s="177" t="str">
        <f>+Itemdata_2.2!E7</f>
        <v>-</v>
      </c>
      <c r="DT71" s="178"/>
      <c r="DU71" s="178"/>
      <c r="DV71" s="178"/>
      <c r="DW71" s="178"/>
      <c r="DX71" s="178"/>
      <c r="DY71" s="178"/>
      <c r="DZ71" s="178"/>
      <c r="EA71" s="178"/>
      <c r="EB71" s="178"/>
      <c r="EC71" s="178"/>
      <c r="ED71" s="178"/>
      <c r="EE71" s="178"/>
      <c r="EF71" s="179"/>
      <c r="EG71" s="177" t="str">
        <f>+Itemdata_2.2!F7</f>
        <v>-</v>
      </c>
      <c r="EH71" s="178"/>
      <c r="EI71" s="178"/>
      <c r="EJ71" s="178"/>
      <c r="EK71" s="178"/>
      <c r="EL71" s="178"/>
      <c r="EM71" s="178"/>
      <c r="EN71" s="178"/>
      <c r="EO71" s="178"/>
      <c r="EP71" s="178"/>
      <c r="EQ71" s="178"/>
      <c r="ER71" s="178"/>
      <c r="ES71" s="179"/>
      <c r="ET71" s="177" t="str">
        <f>+Itemdata_2.2!G7</f>
        <v>-</v>
      </c>
      <c r="EU71" s="178"/>
      <c r="EV71" s="178"/>
      <c r="EW71" s="178"/>
      <c r="EX71" s="178"/>
      <c r="EY71" s="178"/>
      <c r="EZ71" s="178"/>
      <c r="FA71" s="178"/>
      <c r="FB71" s="178"/>
      <c r="FC71" s="178"/>
      <c r="FD71" s="178"/>
      <c r="FE71" s="179"/>
    </row>
    <row r="72" spans="1:161">
      <c r="A72" s="180" t="str">
        <f>+Itemdata_2.2!A8</f>
        <v>-</v>
      </c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81"/>
      <c r="AL72" s="181"/>
      <c r="AM72" s="181"/>
      <c r="AN72" s="181"/>
      <c r="AO72" s="181"/>
      <c r="AP72" s="181"/>
      <c r="AQ72" s="181"/>
      <c r="AR72" s="181"/>
      <c r="AS72" s="181"/>
      <c r="AT72" s="181"/>
      <c r="AU72" s="181"/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2"/>
      <c r="BG72" s="118" t="str">
        <f>+Itemdata_2.2!B8</f>
        <v>-</v>
      </c>
      <c r="BH72" s="119"/>
      <c r="BI72" s="119"/>
      <c r="BJ72" s="119"/>
      <c r="BK72" s="119"/>
      <c r="BL72" s="119"/>
      <c r="BM72" s="119"/>
      <c r="BN72" s="119"/>
      <c r="BO72" s="119"/>
      <c r="BP72" s="119"/>
      <c r="BQ72" s="119"/>
      <c r="BR72" s="119"/>
      <c r="BS72" s="120"/>
      <c r="BT72" s="180" t="str">
        <f>+Itemdata_2.2!C8</f>
        <v>-</v>
      </c>
      <c r="BU72" s="181"/>
      <c r="BV72" s="181"/>
      <c r="BW72" s="181"/>
      <c r="BX72" s="181"/>
      <c r="BY72" s="181"/>
      <c r="BZ72" s="181"/>
      <c r="CA72" s="181"/>
      <c r="CB72" s="181"/>
      <c r="CC72" s="181"/>
      <c r="CD72" s="181"/>
      <c r="CE72" s="181"/>
      <c r="CF72" s="181"/>
      <c r="CG72" s="181"/>
      <c r="CH72" s="181"/>
      <c r="CI72" s="181"/>
      <c r="CJ72" s="181"/>
      <c r="CK72" s="181"/>
      <c r="CL72" s="181"/>
      <c r="CM72" s="181"/>
      <c r="CN72" s="181"/>
      <c r="CO72" s="181"/>
      <c r="CP72" s="181"/>
      <c r="CQ72" s="181"/>
      <c r="CR72" s="181"/>
      <c r="CS72" s="181"/>
      <c r="CT72" s="181"/>
      <c r="CU72" s="181"/>
      <c r="CV72" s="181"/>
      <c r="CW72" s="182"/>
      <c r="CX72" s="174" t="str">
        <f>+Itemdata_2.2!D8</f>
        <v>-</v>
      </c>
      <c r="CY72" s="175"/>
      <c r="CZ72" s="175"/>
      <c r="DA72" s="175"/>
      <c r="DB72" s="175"/>
      <c r="DC72" s="175"/>
      <c r="DD72" s="175"/>
      <c r="DE72" s="175"/>
      <c r="DF72" s="175"/>
      <c r="DG72" s="175"/>
      <c r="DH72" s="175"/>
      <c r="DI72" s="175"/>
      <c r="DJ72" s="175"/>
      <c r="DK72" s="175"/>
      <c r="DL72" s="175"/>
      <c r="DM72" s="175"/>
      <c r="DN72" s="175"/>
      <c r="DO72" s="175"/>
      <c r="DP72" s="175"/>
      <c r="DQ72" s="175"/>
      <c r="DR72" s="176"/>
      <c r="DS72" s="177" t="str">
        <f>+Itemdata_2.2!E8</f>
        <v>-</v>
      </c>
      <c r="DT72" s="178"/>
      <c r="DU72" s="178"/>
      <c r="DV72" s="178"/>
      <c r="DW72" s="178"/>
      <c r="DX72" s="178"/>
      <c r="DY72" s="178"/>
      <c r="DZ72" s="178"/>
      <c r="EA72" s="178"/>
      <c r="EB72" s="178"/>
      <c r="EC72" s="178"/>
      <c r="ED72" s="178"/>
      <c r="EE72" s="178"/>
      <c r="EF72" s="179"/>
      <c r="EG72" s="177" t="str">
        <f>+Itemdata_2.2!F8</f>
        <v>-</v>
      </c>
      <c r="EH72" s="178"/>
      <c r="EI72" s="178"/>
      <c r="EJ72" s="178"/>
      <c r="EK72" s="178"/>
      <c r="EL72" s="178"/>
      <c r="EM72" s="178"/>
      <c r="EN72" s="178"/>
      <c r="EO72" s="178"/>
      <c r="EP72" s="178"/>
      <c r="EQ72" s="178"/>
      <c r="ER72" s="178"/>
      <c r="ES72" s="179"/>
      <c r="ET72" s="177" t="str">
        <f>+Itemdata_2.2!G8</f>
        <v>-</v>
      </c>
      <c r="EU72" s="178"/>
      <c r="EV72" s="178"/>
      <c r="EW72" s="178"/>
      <c r="EX72" s="178"/>
      <c r="EY72" s="178"/>
      <c r="EZ72" s="178"/>
      <c r="FA72" s="178"/>
      <c r="FB72" s="178"/>
      <c r="FC72" s="178"/>
      <c r="FD72" s="178"/>
      <c r="FE72" s="179"/>
    </row>
    <row r="73" spans="1:161">
      <c r="A73" s="180" t="str">
        <f>+Itemdata_2.2!A9</f>
        <v>-</v>
      </c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I73" s="181"/>
      <c r="AJ73" s="181"/>
      <c r="AK73" s="181"/>
      <c r="AL73" s="181"/>
      <c r="AM73" s="181"/>
      <c r="AN73" s="181"/>
      <c r="AO73" s="181"/>
      <c r="AP73" s="181"/>
      <c r="AQ73" s="181"/>
      <c r="AR73" s="181"/>
      <c r="AS73" s="181"/>
      <c r="AT73" s="181"/>
      <c r="AU73" s="181"/>
      <c r="AV73" s="181"/>
      <c r="AW73" s="181"/>
      <c r="AX73" s="181"/>
      <c r="AY73" s="181"/>
      <c r="AZ73" s="181"/>
      <c r="BA73" s="181"/>
      <c r="BB73" s="181"/>
      <c r="BC73" s="181"/>
      <c r="BD73" s="181"/>
      <c r="BE73" s="181"/>
      <c r="BF73" s="182"/>
      <c r="BG73" s="118" t="str">
        <f>+Itemdata_2.2!B9</f>
        <v>-</v>
      </c>
      <c r="BH73" s="119"/>
      <c r="BI73" s="119"/>
      <c r="BJ73" s="119"/>
      <c r="BK73" s="119"/>
      <c r="BL73" s="119"/>
      <c r="BM73" s="119"/>
      <c r="BN73" s="119"/>
      <c r="BO73" s="119"/>
      <c r="BP73" s="119"/>
      <c r="BQ73" s="119"/>
      <c r="BR73" s="119"/>
      <c r="BS73" s="120"/>
      <c r="BT73" s="180" t="str">
        <f>+Itemdata_2.2!C9</f>
        <v>-</v>
      </c>
      <c r="BU73" s="181"/>
      <c r="BV73" s="181"/>
      <c r="BW73" s="181"/>
      <c r="BX73" s="181"/>
      <c r="BY73" s="181"/>
      <c r="BZ73" s="181"/>
      <c r="CA73" s="181"/>
      <c r="CB73" s="181"/>
      <c r="CC73" s="181"/>
      <c r="CD73" s="181"/>
      <c r="CE73" s="181"/>
      <c r="CF73" s="181"/>
      <c r="CG73" s="181"/>
      <c r="CH73" s="181"/>
      <c r="CI73" s="181"/>
      <c r="CJ73" s="181"/>
      <c r="CK73" s="181"/>
      <c r="CL73" s="181"/>
      <c r="CM73" s="181"/>
      <c r="CN73" s="181"/>
      <c r="CO73" s="181"/>
      <c r="CP73" s="181"/>
      <c r="CQ73" s="181"/>
      <c r="CR73" s="181"/>
      <c r="CS73" s="181"/>
      <c r="CT73" s="181"/>
      <c r="CU73" s="181"/>
      <c r="CV73" s="181"/>
      <c r="CW73" s="182"/>
      <c r="CX73" s="174" t="str">
        <f>+Itemdata_2.2!D9</f>
        <v>-</v>
      </c>
      <c r="CY73" s="175"/>
      <c r="CZ73" s="175"/>
      <c r="DA73" s="175"/>
      <c r="DB73" s="175"/>
      <c r="DC73" s="175"/>
      <c r="DD73" s="175"/>
      <c r="DE73" s="175"/>
      <c r="DF73" s="175"/>
      <c r="DG73" s="175"/>
      <c r="DH73" s="175"/>
      <c r="DI73" s="175"/>
      <c r="DJ73" s="175"/>
      <c r="DK73" s="175"/>
      <c r="DL73" s="175"/>
      <c r="DM73" s="175"/>
      <c r="DN73" s="175"/>
      <c r="DO73" s="175"/>
      <c r="DP73" s="175"/>
      <c r="DQ73" s="175"/>
      <c r="DR73" s="176"/>
      <c r="DS73" s="177" t="str">
        <f>+Itemdata_2.2!E9</f>
        <v>-</v>
      </c>
      <c r="DT73" s="178"/>
      <c r="DU73" s="178"/>
      <c r="DV73" s="178"/>
      <c r="DW73" s="178"/>
      <c r="DX73" s="178"/>
      <c r="DY73" s="178"/>
      <c r="DZ73" s="178"/>
      <c r="EA73" s="178"/>
      <c r="EB73" s="178"/>
      <c r="EC73" s="178"/>
      <c r="ED73" s="178"/>
      <c r="EE73" s="178"/>
      <c r="EF73" s="179"/>
      <c r="EG73" s="177" t="str">
        <f>+Itemdata_2.2!F9</f>
        <v>-</v>
      </c>
      <c r="EH73" s="178"/>
      <c r="EI73" s="178"/>
      <c r="EJ73" s="178"/>
      <c r="EK73" s="178"/>
      <c r="EL73" s="178"/>
      <c r="EM73" s="178"/>
      <c r="EN73" s="178"/>
      <c r="EO73" s="178"/>
      <c r="EP73" s="178"/>
      <c r="EQ73" s="178"/>
      <c r="ER73" s="178"/>
      <c r="ES73" s="179"/>
      <c r="ET73" s="177" t="str">
        <f>+Itemdata_2.2!G9</f>
        <v>-</v>
      </c>
      <c r="EU73" s="178"/>
      <c r="EV73" s="178"/>
      <c r="EW73" s="178"/>
      <c r="EX73" s="178"/>
      <c r="EY73" s="178"/>
      <c r="EZ73" s="178"/>
      <c r="FA73" s="178"/>
      <c r="FB73" s="178"/>
      <c r="FC73" s="178"/>
      <c r="FD73" s="178"/>
      <c r="FE73" s="179"/>
    </row>
    <row r="74" spans="1:161">
      <c r="A74" s="180" t="str">
        <f>+Itemdata_2.2!A10</f>
        <v>-</v>
      </c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81"/>
      <c r="AJ74" s="181"/>
      <c r="AK74" s="181"/>
      <c r="AL74" s="181"/>
      <c r="AM74" s="181"/>
      <c r="AN74" s="181"/>
      <c r="AO74" s="181"/>
      <c r="AP74" s="181"/>
      <c r="AQ74" s="181"/>
      <c r="AR74" s="181"/>
      <c r="AS74" s="181"/>
      <c r="AT74" s="181"/>
      <c r="AU74" s="181"/>
      <c r="AV74" s="181"/>
      <c r="AW74" s="181"/>
      <c r="AX74" s="181"/>
      <c r="AY74" s="181"/>
      <c r="AZ74" s="181"/>
      <c r="BA74" s="181"/>
      <c r="BB74" s="181"/>
      <c r="BC74" s="181"/>
      <c r="BD74" s="181"/>
      <c r="BE74" s="181"/>
      <c r="BF74" s="182"/>
      <c r="BG74" s="118" t="str">
        <f>+Itemdata_2.2!B10</f>
        <v>-</v>
      </c>
      <c r="BH74" s="119"/>
      <c r="BI74" s="119"/>
      <c r="BJ74" s="119"/>
      <c r="BK74" s="119"/>
      <c r="BL74" s="119"/>
      <c r="BM74" s="119"/>
      <c r="BN74" s="119"/>
      <c r="BO74" s="119"/>
      <c r="BP74" s="119"/>
      <c r="BQ74" s="119"/>
      <c r="BR74" s="119"/>
      <c r="BS74" s="120"/>
      <c r="BT74" s="180" t="str">
        <f>+Itemdata_2.2!C10</f>
        <v>-</v>
      </c>
      <c r="BU74" s="181"/>
      <c r="BV74" s="181"/>
      <c r="BW74" s="181"/>
      <c r="BX74" s="181"/>
      <c r="BY74" s="181"/>
      <c r="BZ74" s="181"/>
      <c r="CA74" s="181"/>
      <c r="CB74" s="181"/>
      <c r="CC74" s="181"/>
      <c r="CD74" s="181"/>
      <c r="CE74" s="181"/>
      <c r="CF74" s="181"/>
      <c r="CG74" s="181"/>
      <c r="CH74" s="181"/>
      <c r="CI74" s="181"/>
      <c r="CJ74" s="181"/>
      <c r="CK74" s="181"/>
      <c r="CL74" s="181"/>
      <c r="CM74" s="181"/>
      <c r="CN74" s="181"/>
      <c r="CO74" s="181"/>
      <c r="CP74" s="181"/>
      <c r="CQ74" s="181"/>
      <c r="CR74" s="181"/>
      <c r="CS74" s="181"/>
      <c r="CT74" s="181"/>
      <c r="CU74" s="181"/>
      <c r="CV74" s="181"/>
      <c r="CW74" s="182"/>
      <c r="CX74" s="174" t="str">
        <f>+Itemdata_2.2!D10</f>
        <v>-</v>
      </c>
      <c r="CY74" s="175"/>
      <c r="CZ74" s="175"/>
      <c r="DA74" s="175"/>
      <c r="DB74" s="175"/>
      <c r="DC74" s="175"/>
      <c r="DD74" s="175"/>
      <c r="DE74" s="175"/>
      <c r="DF74" s="175"/>
      <c r="DG74" s="175"/>
      <c r="DH74" s="175"/>
      <c r="DI74" s="175"/>
      <c r="DJ74" s="175"/>
      <c r="DK74" s="175"/>
      <c r="DL74" s="175"/>
      <c r="DM74" s="175"/>
      <c r="DN74" s="175"/>
      <c r="DO74" s="175"/>
      <c r="DP74" s="175"/>
      <c r="DQ74" s="175"/>
      <c r="DR74" s="176"/>
      <c r="DS74" s="177" t="str">
        <f>+Itemdata_2.2!E10</f>
        <v>-</v>
      </c>
      <c r="DT74" s="178"/>
      <c r="DU74" s="178"/>
      <c r="DV74" s="178"/>
      <c r="DW74" s="178"/>
      <c r="DX74" s="178"/>
      <c r="DY74" s="178"/>
      <c r="DZ74" s="178"/>
      <c r="EA74" s="178"/>
      <c r="EB74" s="178"/>
      <c r="EC74" s="178"/>
      <c r="ED74" s="178"/>
      <c r="EE74" s="178"/>
      <c r="EF74" s="179"/>
      <c r="EG74" s="177" t="str">
        <f>+Itemdata_2.2!F10</f>
        <v>-</v>
      </c>
      <c r="EH74" s="178"/>
      <c r="EI74" s="178"/>
      <c r="EJ74" s="178"/>
      <c r="EK74" s="178"/>
      <c r="EL74" s="178"/>
      <c r="EM74" s="178"/>
      <c r="EN74" s="178"/>
      <c r="EO74" s="178"/>
      <c r="EP74" s="178"/>
      <c r="EQ74" s="178"/>
      <c r="ER74" s="178"/>
      <c r="ES74" s="179"/>
      <c r="ET74" s="177" t="str">
        <f>+Itemdata_2.2!G10</f>
        <v>-</v>
      </c>
      <c r="EU74" s="178"/>
      <c r="EV74" s="178"/>
      <c r="EW74" s="178"/>
      <c r="EX74" s="178"/>
      <c r="EY74" s="178"/>
      <c r="EZ74" s="178"/>
      <c r="FA74" s="178"/>
      <c r="FB74" s="178"/>
      <c r="FC74" s="178"/>
      <c r="FD74" s="178"/>
      <c r="FE74" s="179"/>
    </row>
    <row r="75" spans="1:161">
      <c r="A75" s="180" t="str">
        <f>+Itemdata_2.2!A11</f>
        <v>-</v>
      </c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  <c r="AK75" s="181"/>
      <c r="AL75" s="181"/>
      <c r="AM75" s="181"/>
      <c r="AN75" s="181"/>
      <c r="AO75" s="181"/>
      <c r="AP75" s="181"/>
      <c r="AQ75" s="181"/>
      <c r="AR75" s="181"/>
      <c r="AS75" s="181"/>
      <c r="AT75" s="181"/>
      <c r="AU75" s="181"/>
      <c r="AV75" s="181"/>
      <c r="AW75" s="181"/>
      <c r="AX75" s="181"/>
      <c r="AY75" s="181"/>
      <c r="AZ75" s="181"/>
      <c r="BA75" s="181"/>
      <c r="BB75" s="181"/>
      <c r="BC75" s="181"/>
      <c r="BD75" s="181"/>
      <c r="BE75" s="181"/>
      <c r="BF75" s="182"/>
      <c r="BG75" s="118" t="str">
        <f>+Itemdata_2.2!B11</f>
        <v>-</v>
      </c>
      <c r="BH75" s="119"/>
      <c r="BI75" s="119"/>
      <c r="BJ75" s="119"/>
      <c r="BK75" s="119"/>
      <c r="BL75" s="119"/>
      <c r="BM75" s="119"/>
      <c r="BN75" s="119"/>
      <c r="BO75" s="119"/>
      <c r="BP75" s="119"/>
      <c r="BQ75" s="119"/>
      <c r="BR75" s="119"/>
      <c r="BS75" s="120"/>
      <c r="BT75" s="180" t="str">
        <f>+Itemdata_2.2!C11</f>
        <v>-</v>
      </c>
      <c r="BU75" s="181"/>
      <c r="BV75" s="181"/>
      <c r="BW75" s="181"/>
      <c r="BX75" s="181"/>
      <c r="BY75" s="181"/>
      <c r="BZ75" s="181"/>
      <c r="CA75" s="181"/>
      <c r="CB75" s="181"/>
      <c r="CC75" s="181"/>
      <c r="CD75" s="181"/>
      <c r="CE75" s="181"/>
      <c r="CF75" s="181"/>
      <c r="CG75" s="181"/>
      <c r="CH75" s="181"/>
      <c r="CI75" s="181"/>
      <c r="CJ75" s="181"/>
      <c r="CK75" s="181"/>
      <c r="CL75" s="181"/>
      <c r="CM75" s="181"/>
      <c r="CN75" s="181"/>
      <c r="CO75" s="181"/>
      <c r="CP75" s="181"/>
      <c r="CQ75" s="181"/>
      <c r="CR75" s="181"/>
      <c r="CS75" s="181"/>
      <c r="CT75" s="181"/>
      <c r="CU75" s="181"/>
      <c r="CV75" s="181"/>
      <c r="CW75" s="182"/>
      <c r="CX75" s="174" t="str">
        <f>+Itemdata_2.2!D11</f>
        <v>-</v>
      </c>
      <c r="CY75" s="175"/>
      <c r="CZ75" s="175"/>
      <c r="DA75" s="175"/>
      <c r="DB75" s="175"/>
      <c r="DC75" s="175"/>
      <c r="DD75" s="175"/>
      <c r="DE75" s="175"/>
      <c r="DF75" s="175"/>
      <c r="DG75" s="175"/>
      <c r="DH75" s="175"/>
      <c r="DI75" s="175"/>
      <c r="DJ75" s="175"/>
      <c r="DK75" s="175"/>
      <c r="DL75" s="175"/>
      <c r="DM75" s="175"/>
      <c r="DN75" s="175"/>
      <c r="DO75" s="175"/>
      <c r="DP75" s="175"/>
      <c r="DQ75" s="175"/>
      <c r="DR75" s="176"/>
      <c r="DS75" s="177" t="str">
        <f>+Itemdata_2.2!E11</f>
        <v>-</v>
      </c>
      <c r="DT75" s="178"/>
      <c r="DU75" s="178"/>
      <c r="DV75" s="178"/>
      <c r="DW75" s="178"/>
      <c r="DX75" s="178"/>
      <c r="DY75" s="178"/>
      <c r="DZ75" s="178"/>
      <c r="EA75" s="178"/>
      <c r="EB75" s="178"/>
      <c r="EC75" s="178"/>
      <c r="ED75" s="178"/>
      <c r="EE75" s="178"/>
      <c r="EF75" s="179"/>
      <c r="EG75" s="177" t="str">
        <f>+Itemdata_2.2!F11</f>
        <v>-</v>
      </c>
      <c r="EH75" s="178"/>
      <c r="EI75" s="178"/>
      <c r="EJ75" s="178"/>
      <c r="EK75" s="178"/>
      <c r="EL75" s="178"/>
      <c r="EM75" s="178"/>
      <c r="EN75" s="178"/>
      <c r="EO75" s="178"/>
      <c r="EP75" s="178"/>
      <c r="EQ75" s="178"/>
      <c r="ER75" s="178"/>
      <c r="ES75" s="179"/>
      <c r="ET75" s="177" t="str">
        <f>+Itemdata_2.2!G11</f>
        <v>-</v>
      </c>
      <c r="EU75" s="178"/>
      <c r="EV75" s="178"/>
      <c r="EW75" s="178"/>
      <c r="EX75" s="178"/>
      <c r="EY75" s="178"/>
      <c r="EZ75" s="178"/>
      <c r="FA75" s="178"/>
      <c r="FB75" s="178"/>
      <c r="FC75" s="178"/>
      <c r="FD75" s="178"/>
      <c r="FE75" s="179"/>
    </row>
    <row r="76" spans="1:161">
      <c r="A76" s="180" t="str">
        <f>+Itemdata_2.2!A12</f>
        <v>-</v>
      </c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81"/>
      <c r="AJ76" s="181"/>
      <c r="AK76" s="181"/>
      <c r="AL76" s="181"/>
      <c r="AM76" s="181"/>
      <c r="AN76" s="181"/>
      <c r="AO76" s="181"/>
      <c r="AP76" s="181"/>
      <c r="AQ76" s="181"/>
      <c r="AR76" s="181"/>
      <c r="AS76" s="181"/>
      <c r="AT76" s="181"/>
      <c r="AU76" s="181"/>
      <c r="AV76" s="181"/>
      <c r="AW76" s="181"/>
      <c r="AX76" s="181"/>
      <c r="AY76" s="181"/>
      <c r="AZ76" s="181"/>
      <c r="BA76" s="181"/>
      <c r="BB76" s="181"/>
      <c r="BC76" s="181"/>
      <c r="BD76" s="181"/>
      <c r="BE76" s="181"/>
      <c r="BF76" s="182"/>
      <c r="BG76" s="118" t="str">
        <f>+Itemdata_2.2!B12</f>
        <v>-</v>
      </c>
      <c r="BH76" s="119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20"/>
      <c r="BT76" s="180" t="str">
        <f>+Itemdata_2.2!C12</f>
        <v>-</v>
      </c>
      <c r="BU76" s="181"/>
      <c r="BV76" s="181"/>
      <c r="BW76" s="181"/>
      <c r="BX76" s="181"/>
      <c r="BY76" s="181"/>
      <c r="BZ76" s="181"/>
      <c r="CA76" s="181"/>
      <c r="CB76" s="181"/>
      <c r="CC76" s="181"/>
      <c r="CD76" s="181"/>
      <c r="CE76" s="181"/>
      <c r="CF76" s="181"/>
      <c r="CG76" s="181"/>
      <c r="CH76" s="181"/>
      <c r="CI76" s="181"/>
      <c r="CJ76" s="181"/>
      <c r="CK76" s="181"/>
      <c r="CL76" s="181"/>
      <c r="CM76" s="181"/>
      <c r="CN76" s="181"/>
      <c r="CO76" s="181"/>
      <c r="CP76" s="181"/>
      <c r="CQ76" s="181"/>
      <c r="CR76" s="181"/>
      <c r="CS76" s="181"/>
      <c r="CT76" s="181"/>
      <c r="CU76" s="181"/>
      <c r="CV76" s="181"/>
      <c r="CW76" s="182"/>
      <c r="CX76" s="174" t="str">
        <f>+Itemdata_2.2!D12</f>
        <v>-</v>
      </c>
      <c r="CY76" s="175"/>
      <c r="CZ76" s="175"/>
      <c r="DA76" s="175"/>
      <c r="DB76" s="175"/>
      <c r="DC76" s="175"/>
      <c r="DD76" s="175"/>
      <c r="DE76" s="175"/>
      <c r="DF76" s="175"/>
      <c r="DG76" s="175"/>
      <c r="DH76" s="175"/>
      <c r="DI76" s="175"/>
      <c r="DJ76" s="175"/>
      <c r="DK76" s="175"/>
      <c r="DL76" s="175"/>
      <c r="DM76" s="175"/>
      <c r="DN76" s="175"/>
      <c r="DO76" s="175"/>
      <c r="DP76" s="175"/>
      <c r="DQ76" s="175"/>
      <c r="DR76" s="176"/>
      <c r="DS76" s="177" t="str">
        <f>+Itemdata_2.2!E12</f>
        <v>-</v>
      </c>
      <c r="DT76" s="178"/>
      <c r="DU76" s="178"/>
      <c r="DV76" s="178"/>
      <c r="DW76" s="178"/>
      <c r="DX76" s="178"/>
      <c r="DY76" s="178"/>
      <c r="DZ76" s="178"/>
      <c r="EA76" s="178"/>
      <c r="EB76" s="178"/>
      <c r="EC76" s="178"/>
      <c r="ED76" s="178"/>
      <c r="EE76" s="178"/>
      <c r="EF76" s="179"/>
      <c r="EG76" s="177" t="str">
        <f>+Itemdata_2.2!F12</f>
        <v>-</v>
      </c>
      <c r="EH76" s="178"/>
      <c r="EI76" s="178"/>
      <c r="EJ76" s="178"/>
      <c r="EK76" s="178"/>
      <c r="EL76" s="178"/>
      <c r="EM76" s="178"/>
      <c r="EN76" s="178"/>
      <c r="EO76" s="178"/>
      <c r="EP76" s="178"/>
      <c r="EQ76" s="178"/>
      <c r="ER76" s="178"/>
      <c r="ES76" s="179"/>
      <c r="ET76" s="177" t="str">
        <f>+Itemdata_2.2!G12</f>
        <v>-</v>
      </c>
      <c r="EU76" s="178"/>
      <c r="EV76" s="178"/>
      <c r="EW76" s="178"/>
      <c r="EX76" s="178"/>
      <c r="EY76" s="178"/>
      <c r="EZ76" s="178"/>
      <c r="FA76" s="178"/>
      <c r="FB76" s="178"/>
      <c r="FC76" s="178"/>
      <c r="FD76" s="178"/>
      <c r="FE76" s="179"/>
    </row>
    <row r="77" spans="1:161">
      <c r="A77" s="180" t="str">
        <f>+Itemdata_2.2!A13</f>
        <v>-</v>
      </c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  <c r="AK77" s="181"/>
      <c r="AL77" s="181"/>
      <c r="AM77" s="181"/>
      <c r="AN77" s="181"/>
      <c r="AO77" s="181"/>
      <c r="AP77" s="181"/>
      <c r="AQ77" s="181"/>
      <c r="AR77" s="181"/>
      <c r="AS77" s="181"/>
      <c r="AT77" s="181"/>
      <c r="AU77" s="181"/>
      <c r="AV77" s="181"/>
      <c r="AW77" s="181"/>
      <c r="AX77" s="181"/>
      <c r="AY77" s="181"/>
      <c r="AZ77" s="181"/>
      <c r="BA77" s="181"/>
      <c r="BB77" s="181"/>
      <c r="BC77" s="181"/>
      <c r="BD77" s="181"/>
      <c r="BE77" s="181"/>
      <c r="BF77" s="182"/>
      <c r="BG77" s="118" t="str">
        <f>+Itemdata_2.2!B13</f>
        <v>-</v>
      </c>
      <c r="BH77" s="119"/>
      <c r="BI77" s="119"/>
      <c r="BJ77" s="119"/>
      <c r="BK77" s="119"/>
      <c r="BL77" s="119"/>
      <c r="BM77" s="119"/>
      <c r="BN77" s="119"/>
      <c r="BO77" s="119"/>
      <c r="BP77" s="119"/>
      <c r="BQ77" s="119"/>
      <c r="BR77" s="119"/>
      <c r="BS77" s="120"/>
      <c r="BT77" s="180" t="str">
        <f>+Itemdata_2.2!C13</f>
        <v>-</v>
      </c>
      <c r="BU77" s="181"/>
      <c r="BV77" s="181"/>
      <c r="BW77" s="181"/>
      <c r="BX77" s="181"/>
      <c r="BY77" s="181"/>
      <c r="BZ77" s="181"/>
      <c r="CA77" s="181"/>
      <c r="CB77" s="181"/>
      <c r="CC77" s="181"/>
      <c r="CD77" s="181"/>
      <c r="CE77" s="181"/>
      <c r="CF77" s="181"/>
      <c r="CG77" s="181"/>
      <c r="CH77" s="181"/>
      <c r="CI77" s="181"/>
      <c r="CJ77" s="181"/>
      <c r="CK77" s="181"/>
      <c r="CL77" s="181"/>
      <c r="CM77" s="181"/>
      <c r="CN77" s="181"/>
      <c r="CO77" s="181"/>
      <c r="CP77" s="181"/>
      <c r="CQ77" s="181"/>
      <c r="CR77" s="181"/>
      <c r="CS77" s="181"/>
      <c r="CT77" s="181"/>
      <c r="CU77" s="181"/>
      <c r="CV77" s="181"/>
      <c r="CW77" s="182"/>
      <c r="CX77" s="174" t="str">
        <f>+Itemdata_2.2!D13</f>
        <v>-</v>
      </c>
      <c r="CY77" s="175"/>
      <c r="CZ77" s="175"/>
      <c r="DA77" s="175"/>
      <c r="DB77" s="175"/>
      <c r="DC77" s="175"/>
      <c r="DD77" s="175"/>
      <c r="DE77" s="175"/>
      <c r="DF77" s="175"/>
      <c r="DG77" s="175"/>
      <c r="DH77" s="175"/>
      <c r="DI77" s="175"/>
      <c r="DJ77" s="175"/>
      <c r="DK77" s="175"/>
      <c r="DL77" s="175"/>
      <c r="DM77" s="175"/>
      <c r="DN77" s="175"/>
      <c r="DO77" s="175"/>
      <c r="DP77" s="175"/>
      <c r="DQ77" s="175"/>
      <c r="DR77" s="176"/>
      <c r="DS77" s="177" t="str">
        <f>+Itemdata_2.2!E13</f>
        <v>-</v>
      </c>
      <c r="DT77" s="178"/>
      <c r="DU77" s="178"/>
      <c r="DV77" s="178"/>
      <c r="DW77" s="178"/>
      <c r="DX77" s="178"/>
      <c r="DY77" s="178"/>
      <c r="DZ77" s="178"/>
      <c r="EA77" s="178"/>
      <c r="EB77" s="178"/>
      <c r="EC77" s="178"/>
      <c r="ED77" s="178"/>
      <c r="EE77" s="178"/>
      <c r="EF77" s="179"/>
      <c r="EG77" s="177" t="str">
        <f>+Itemdata_2.2!F13</f>
        <v>-</v>
      </c>
      <c r="EH77" s="178"/>
      <c r="EI77" s="178"/>
      <c r="EJ77" s="178"/>
      <c r="EK77" s="178"/>
      <c r="EL77" s="178"/>
      <c r="EM77" s="178"/>
      <c r="EN77" s="178"/>
      <c r="EO77" s="178"/>
      <c r="EP77" s="178"/>
      <c r="EQ77" s="178"/>
      <c r="ER77" s="178"/>
      <c r="ES77" s="179"/>
      <c r="ET77" s="177" t="str">
        <f>+Itemdata_2.2!G13</f>
        <v>-</v>
      </c>
      <c r="EU77" s="178"/>
      <c r="EV77" s="178"/>
      <c r="EW77" s="178"/>
      <c r="EX77" s="178"/>
      <c r="EY77" s="178"/>
      <c r="EZ77" s="178"/>
      <c r="FA77" s="178"/>
      <c r="FB77" s="178"/>
      <c r="FC77" s="178"/>
      <c r="FD77" s="178"/>
      <c r="FE77" s="179"/>
    </row>
    <row r="78" spans="1:161">
      <c r="A78" s="180" t="str">
        <f>+Itemdata_2.2!A14</f>
        <v>-</v>
      </c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81"/>
      <c r="AJ78" s="181"/>
      <c r="AK78" s="181"/>
      <c r="AL78" s="181"/>
      <c r="AM78" s="181"/>
      <c r="AN78" s="181"/>
      <c r="AO78" s="181"/>
      <c r="AP78" s="181"/>
      <c r="AQ78" s="181"/>
      <c r="AR78" s="181"/>
      <c r="AS78" s="181"/>
      <c r="AT78" s="181"/>
      <c r="AU78" s="181"/>
      <c r="AV78" s="181"/>
      <c r="AW78" s="181"/>
      <c r="AX78" s="181"/>
      <c r="AY78" s="181"/>
      <c r="AZ78" s="181"/>
      <c r="BA78" s="181"/>
      <c r="BB78" s="181"/>
      <c r="BC78" s="181"/>
      <c r="BD78" s="181"/>
      <c r="BE78" s="181"/>
      <c r="BF78" s="182"/>
      <c r="BG78" s="118" t="str">
        <f>+Itemdata_2.2!B14</f>
        <v>-</v>
      </c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20"/>
      <c r="BT78" s="180" t="str">
        <f>+Itemdata_2.2!C14</f>
        <v>-</v>
      </c>
      <c r="BU78" s="181"/>
      <c r="BV78" s="181"/>
      <c r="BW78" s="181"/>
      <c r="BX78" s="181"/>
      <c r="BY78" s="181"/>
      <c r="BZ78" s="181"/>
      <c r="CA78" s="181"/>
      <c r="CB78" s="181"/>
      <c r="CC78" s="181"/>
      <c r="CD78" s="181"/>
      <c r="CE78" s="181"/>
      <c r="CF78" s="181"/>
      <c r="CG78" s="181"/>
      <c r="CH78" s="181"/>
      <c r="CI78" s="181"/>
      <c r="CJ78" s="181"/>
      <c r="CK78" s="181"/>
      <c r="CL78" s="181"/>
      <c r="CM78" s="181"/>
      <c r="CN78" s="181"/>
      <c r="CO78" s="181"/>
      <c r="CP78" s="181"/>
      <c r="CQ78" s="181"/>
      <c r="CR78" s="181"/>
      <c r="CS78" s="181"/>
      <c r="CT78" s="181"/>
      <c r="CU78" s="181"/>
      <c r="CV78" s="181"/>
      <c r="CW78" s="182"/>
      <c r="CX78" s="174" t="str">
        <f>+Itemdata_2.2!D14</f>
        <v>-</v>
      </c>
      <c r="CY78" s="175"/>
      <c r="CZ78" s="175"/>
      <c r="DA78" s="175"/>
      <c r="DB78" s="175"/>
      <c r="DC78" s="175"/>
      <c r="DD78" s="175"/>
      <c r="DE78" s="175"/>
      <c r="DF78" s="175"/>
      <c r="DG78" s="175"/>
      <c r="DH78" s="175"/>
      <c r="DI78" s="175"/>
      <c r="DJ78" s="175"/>
      <c r="DK78" s="175"/>
      <c r="DL78" s="175"/>
      <c r="DM78" s="175"/>
      <c r="DN78" s="175"/>
      <c r="DO78" s="175"/>
      <c r="DP78" s="175"/>
      <c r="DQ78" s="175"/>
      <c r="DR78" s="176"/>
      <c r="DS78" s="177" t="str">
        <f>+Itemdata_2.2!E14</f>
        <v>-</v>
      </c>
      <c r="DT78" s="178"/>
      <c r="DU78" s="178"/>
      <c r="DV78" s="178"/>
      <c r="DW78" s="178"/>
      <c r="DX78" s="178"/>
      <c r="DY78" s="178"/>
      <c r="DZ78" s="178"/>
      <c r="EA78" s="178"/>
      <c r="EB78" s="178"/>
      <c r="EC78" s="178"/>
      <c r="ED78" s="178"/>
      <c r="EE78" s="178"/>
      <c r="EF78" s="179"/>
      <c r="EG78" s="177" t="str">
        <f>+Itemdata_2.2!F14</f>
        <v>-</v>
      </c>
      <c r="EH78" s="178"/>
      <c r="EI78" s="178"/>
      <c r="EJ78" s="178"/>
      <c r="EK78" s="178"/>
      <c r="EL78" s="178"/>
      <c r="EM78" s="178"/>
      <c r="EN78" s="178"/>
      <c r="EO78" s="178"/>
      <c r="EP78" s="178"/>
      <c r="EQ78" s="178"/>
      <c r="ER78" s="178"/>
      <c r="ES78" s="179"/>
      <c r="ET78" s="177" t="str">
        <f>+Itemdata_2.2!G14</f>
        <v>-</v>
      </c>
      <c r="EU78" s="178"/>
      <c r="EV78" s="178"/>
      <c r="EW78" s="178"/>
      <c r="EX78" s="178"/>
      <c r="EY78" s="178"/>
      <c r="EZ78" s="178"/>
      <c r="FA78" s="178"/>
      <c r="FB78" s="178"/>
      <c r="FC78" s="178"/>
      <c r="FD78" s="178"/>
      <c r="FE78" s="179"/>
    </row>
    <row r="79" spans="1:161">
      <c r="A79" s="180" t="str">
        <f>+Itemdata_2.2!A15</f>
        <v>-</v>
      </c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81"/>
      <c r="AJ79" s="181"/>
      <c r="AK79" s="181"/>
      <c r="AL79" s="181"/>
      <c r="AM79" s="181"/>
      <c r="AN79" s="181"/>
      <c r="AO79" s="181"/>
      <c r="AP79" s="181"/>
      <c r="AQ79" s="181"/>
      <c r="AR79" s="181"/>
      <c r="AS79" s="181"/>
      <c r="AT79" s="181"/>
      <c r="AU79" s="181"/>
      <c r="AV79" s="181"/>
      <c r="AW79" s="181"/>
      <c r="AX79" s="181"/>
      <c r="AY79" s="181"/>
      <c r="AZ79" s="181"/>
      <c r="BA79" s="181"/>
      <c r="BB79" s="181"/>
      <c r="BC79" s="181"/>
      <c r="BD79" s="181"/>
      <c r="BE79" s="181"/>
      <c r="BF79" s="182"/>
      <c r="BG79" s="118" t="str">
        <f>+Itemdata_2.2!B15</f>
        <v>-</v>
      </c>
      <c r="BH79" s="119"/>
      <c r="BI79" s="119"/>
      <c r="BJ79" s="119"/>
      <c r="BK79" s="119"/>
      <c r="BL79" s="119"/>
      <c r="BM79" s="119"/>
      <c r="BN79" s="119"/>
      <c r="BO79" s="119"/>
      <c r="BP79" s="119"/>
      <c r="BQ79" s="119"/>
      <c r="BR79" s="119"/>
      <c r="BS79" s="120"/>
      <c r="BT79" s="180" t="str">
        <f>+Itemdata_2.2!C15</f>
        <v>-</v>
      </c>
      <c r="BU79" s="181"/>
      <c r="BV79" s="181"/>
      <c r="BW79" s="181"/>
      <c r="BX79" s="181"/>
      <c r="BY79" s="181"/>
      <c r="BZ79" s="181"/>
      <c r="CA79" s="181"/>
      <c r="CB79" s="181"/>
      <c r="CC79" s="181"/>
      <c r="CD79" s="181"/>
      <c r="CE79" s="181"/>
      <c r="CF79" s="181"/>
      <c r="CG79" s="181"/>
      <c r="CH79" s="181"/>
      <c r="CI79" s="181"/>
      <c r="CJ79" s="181"/>
      <c r="CK79" s="181"/>
      <c r="CL79" s="181"/>
      <c r="CM79" s="181"/>
      <c r="CN79" s="181"/>
      <c r="CO79" s="181"/>
      <c r="CP79" s="181"/>
      <c r="CQ79" s="181"/>
      <c r="CR79" s="181"/>
      <c r="CS79" s="181"/>
      <c r="CT79" s="181"/>
      <c r="CU79" s="181"/>
      <c r="CV79" s="181"/>
      <c r="CW79" s="182"/>
      <c r="CX79" s="174" t="str">
        <f>+Itemdata_2.2!D15</f>
        <v>-</v>
      </c>
      <c r="CY79" s="175"/>
      <c r="CZ79" s="175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5"/>
      <c r="DL79" s="175"/>
      <c r="DM79" s="175"/>
      <c r="DN79" s="175"/>
      <c r="DO79" s="175"/>
      <c r="DP79" s="175"/>
      <c r="DQ79" s="175"/>
      <c r="DR79" s="176"/>
      <c r="DS79" s="177" t="str">
        <f>+Itemdata_2.2!E15</f>
        <v>-</v>
      </c>
      <c r="DT79" s="178"/>
      <c r="DU79" s="178"/>
      <c r="DV79" s="178"/>
      <c r="DW79" s="178"/>
      <c r="DX79" s="178"/>
      <c r="DY79" s="178"/>
      <c r="DZ79" s="178"/>
      <c r="EA79" s="178"/>
      <c r="EB79" s="178"/>
      <c r="EC79" s="178"/>
      <c r="ED79" s="178"/>
      <c r="EE79" s="178"/>
      <c r="EF79" s="179"/>
      <c r="EG79" s="177" t="str">
        <f>+Itemdata_2.2!F15</f>
        <v>-</v>
      </c>
      <c r="EH79" s="178"/>
      <c r="EI79" s="178"/>
      <c r="EJ79" s="178"/>
      <c r="EK79" s="178"/>
      <c r="EL79" s="178"/>
      <c r="EM79" s="178"/>
      <c r="EN79" s="178"/>
      <c r="EO79" s="178"/>
      <c r="EP79" s="178"/>
      <c r="EQ79" s="178"/>
      <c r="ER79" s="178"/>
      <c r="ES79" s="179"/>
      <c r="ET79" s="177" t="str">
        <f>+Itemdata_2.2!G15</f>
        <v>-</v>
      </c>
      <c r="EU79" s="178"/>
      <c r="EV79" s="178"/>
      <c r="EW79" s="178"/>
      <c r="EX79" s="178"/>
      <c r="EY79" s="178"/>
      <c r="EZ79" s="178"/>
      <c r="FA79" s="178"/>
      <c r="FB79" s="178"/>
      <c r="FC79" s="178"/>
      <c r="FD79" s="178"/>
      <c r="FE79" s="179"/>
    </row>
    <row r="80" spans="1:161">
      <c r="A80" s="180" t="str">
        <f>+Itemdata_2.2!A16</f>
        <v>-</v>
      </c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81"/>
      <c r="AJ80" s="181"/>
      <c r="AK80" s="181"/>
      <c r="AL80" s="181"/>
      <c r="AM80" s="181"/>
      <c r="AN80" s="181"/>
      <c r="AO80" s="181"/>
      <c r="AP80" s="181"/>
      <c r="AQ80" s="181"/>
      <c r="AR80" s="181"/>
      <c r="AS80" s="181"/>
      <c r="AT80" s="181"/>
      <c r="AU80" s="181"/>
      <c r="AV80" s="181"/>
      <c r="AW80" s="181"/>
      <c r="AX80" s="181"/>
      <c r="AY80" s="181"/>
      <c r="AZ80" s="181"/>
      <c r="BA80" s="181"/>
      <c r="BB80" s="181"/>
      <c r="BC80" s="181"/>
      <c r="BD80" s="181"/>
      <c r="BE80" s="181"/>
      <c r="BF80" s="182"/>
      <c r="BG80" s="118" t="str">
        <f>+Itemdata_2.2!B16</f>
        <v>-</v>
      </c>
      <c r="BH80" s="119"/>
      <c r="BI80" s="119"/>
      <c r="BJ80" s="119"/>
      <c r="BK80" s="119"/>
      <c r="BL80" s="119"/>
      <c r="BM80" s="119"/>
      <c r="BN80" s="119"/>
      <c r="BO80" s="119"/>
      <c r="BP80" s="119"/>
      <c r="BQ80" s="119"/>
      <c r="BR80" s="119"/>
      <c r="BS80" s="120"/>
      <c r="BT80" s="180" t="str">
        <f>+Itemdata_2.2!C16</f>
        <v>-</v>
      </c>
      <c r="BU80" s="181"/>
      <c r="BV80" s="181"/>
      <c r="BW80" s="181"/>
      <c r="BX80" s="181"/>
      <c r="BY80" s="181"/>
      <c r="BZ80" s="181"/>
      <c r="CA80" s="181"/>
      <c r="CB80" s="181"/>
      <c r="CC80" s="181"/>
      <c r="CD80" s="181"/>
      <c r="CE80" s="181"/>
      <c r="CF80" s="181"/>
      <c r="CG80" s="181"/>
      <c r="CH80" s="181"/>
      <c r="CI80" s="181"/>
      <c r="CJ80" s="181"/>
      <c r="CK80" s="181"/>
      <c r="CL80" s="181"/>
      <c r="CM80" s="181"/>
      <c r="CN80" s="181"/>
      <c r="CO80" s="181"/>
      <c r="CP80" s="181"/>
      <c r="CQ80" s="181"/>
      <c r="CR80" s="181"/>
      <c r="CS80" s="181"/>
      <c r="CT80" s="181"/>
      <c r="CU80" s="181"/>
      <c r="CV80" s="181"/>
      <c r="CW80" s="182"/>
      <c r="CX80" s="174" t="str">
        <f>+Itemdata_2.2!D16</f>
        <v>-</v>
      </c>
      <c r="CY80" s="175"/>
      <c r="CZ80" s="175"/>
      <c r="DA80" s="175"/>
      <c r="DB80" s="175"/>
      <c r="DC80" s="175"/>
      <c r="DD80" s="175"/>
      <c r="DE80" s="175"/>
      <c r="DF80" s="175"/>
      <c r="DG80" s="175"/>
      <c r="DH80" s="175"/>
      <c r="DI80" s="175"/>
      <c r="DJ80" s="175"/>
      <c r="DK80" s="175"/>
      <c r="DL80" s="175"/>
      <c r="DM80" s="175"/>
      <c r="DN80" s="175"/>
      <c r="DO80" s="175"/>
      <c r="DP80" s="175"/>
      <c r="DQ80" s="175"/>
      <c r="DR80" s="176"/>
      <c r="DS80" s="177" t="str">
        <f>+Itemdata_2.2!E16</f>
        <v>-</v>
      </c>
      <c r="DT80" s="178"/>
      <c r="DU80" s="178"/>
      <c r="DV80" s="178"/>
      <c r="DW80" s="178"/>
      <c r="DX80" s="178"/>
      <c r="DY80" s="178"/>
      <c r="DZ80" s="178"/>
      <c r="EA80" s="178"/>
      <c r="EB80" s="178"/>
      <c r="EC80" s="178"/>
      <c r="ED80" s="178"/>
      <c r="EE80" s="178"/>
      <c r="EF80" s="179"/>
      <c r="EG80" s="177" t="str">
        <f>+Itemdata_2.2!F16</f>
        <v>-</v>
      </c>
      <c r="EH80" s="178"/>
      <c r="EI80" s="178"/>
      <c r="EJ80" s="178"/>
      <c r="EK80" s="178"/>
      <c r="EL80" s="178"/>
      <c r="EM80" s="178"/>
      <c r="EN80" s="178"/>
      <c r="EO80" s="178"/>
      <c r="EP80" s="178"/>
      <c r="EQ80" s="178"/>
      <c r="ER80" s="178"/>
      <c r="ES80" s="179"/>
      <c r="ET80" s="177" t="str">
        <f>+Itemdata_2.2!G16</f>
        <v>-</v>
      </c>
      <c r="EU80" s="178"/>
      <c r="EV80" s="178"/>
      <c r="EW80" s="178"/>
      <c r="EX80" s="178"/>
      <c r="EY80" s="178"/>
      <c r="EZ80" s="178"/>
      <c r="FA80" s="178"/>
      <c r="FB80" s="178"/>
      <c r="FC80" s="178"/>
      <c r="FD80" s="178"/>
      <c r="FE80" s="179"/>
    </row>
    <row r="81" spans="1:16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</row>
    <row r="82" spans="1:161" ht="20.25" customHeight="1">
      <c r="A82" s="29" t="s">
        <v>77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</row>
    <row r="83" spans="1:161" ht="19.5" customHeight="1">
      <c r="A83" s="154" t="str">
        <f>CONCATENATE(Itemdata_1.2!A2,"   ",IF(Itemdata_1.2!B2="",,CONCATENATE(Itemdata_1.2!B2,"   ")),IF(Itemdata_1.2!C2="",,CONCATENATE(Itemdata_1.2!C2,"   ")),IF(Itemdata_1.2!D2="",,CONCATENATE(Itemdata_1.2!D2,"   ")),IF(Itemdata_1.2!E2="",,CONCATENATE(Itemdata_1.2!E2,"   ")),IF(Itemdata_1.2!F2="",,CONCATENATE(Itemdata_1.2!F2,"   ")),Itemdata_1.2!G2)</f>
        <v xml:space="preserve">                     </v>
      </c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  <c r="BM83" s="154"/>
      <c r="BN83" s="154"/>
      <c r="BO83" s="154"/>
      <c r="BP83" s="154"/>
      <c r="BQ83" s="154"/>
      <c r="BR83" s="154"/>
      <c r="BS83" s="154"/>
      <c r="BT83" s="154"/>
      <c r="BU83" s="154"/>
      <c r="BV83" s="154"/>
      <c r="BW83" s="154"/>
      <c r="BX83" s="154"/>
      <c r="BY83" s="154"/>
      <c r="BZ83" s="154"/>
      <c r="CA83" s="154"/>
      <c r="CB83" s="154"/>
      <c r="CC83" s="154"/>
      <c r="CD83" s="154"/>
      <c r="CE83" s="154"/>
      <c r="CF83" s="154"/>
      <c r="CG83" s="154"/>
      <c r="CH83" s="154"/>
      <c r="CI83" s="154"/>
      <c r="CJ83" s="154"/>
      <c r="CK83" s="154"/>
      <c r="CL83" s="154"/>
      <c r="CM83" s="154"/>
      <c r="CN83" s="154"/>
      <c r="CO83" s="154"/>
      <c r="CP83" s="154"/>
      <c r="CQ83" s="154"/>
      <c r="CR83" s="154"/>
      <c r="CS83" s="154"/>
      <c r="CT83" s="154"/>
      <c r="CU83" s="154"/>
      <c r="CV83" s="154"/>
      <c r="CW83" s="154"/>
      <c r="CX83" s="154"/>
      <c r="CY83" s="154"/>
      <c r="CZ83" s="154"/>
      <c r="DA83" s="154"/>
      <c r="DB83" s="154"/>
      <c r="DC83" s="154"/>
      <c r="DD83" s="154"/>
      <c r="DE83" s="154"/>
      <c r="DF83" s="154"/>
      <c r="DG83" s="154"/>
      <c r="DH83" s="154"/>
      <c r="DI83" s="154"/>
      <c r="DJ83" s="154"/>
      <c r="DK83" s="154"/>
      <c r="DL83" s="154"/>
      <c r="DM83" s="154"/>
      <c r="DN83" s="154"/>
      <c r="DO83" s="154"/>
      <c r="DP83" s="154"/>
      <c r="DQ83" s="154"/>
      <c r="DR83" s="154"/>
      <c r="DS83" s="154"/>
      <c r="DT83" s="154"/>
      <c r="DU83" s="154"/>
      <c r="DV83" s="154"/>
      <c r="DW83" s="154"/>
      <c r="DX83" s="154"/>
      <c r="DY83" s="154"/>
      <c r="DZ83" s="154"/>
      <c r="EA83" s="154"/>
      <c r="EB83" s="154"/>
      <c r="EC83" s="154"/>
      <c r="ED83" s="154"/>
      <c r="EE83" s="154"/>
      <c r="EF83" s="154"/>
      <c r="EG83" s="154"/>
      <c r="EH83" s="154"/>
      <c r="EI83" s="154"/>
      <c r="EJ83" s="154"/>
      <c r="EK83" s="154"/>
      <c r="EL83" s="154"/>
      <c r="EM83" s="154"/>
      <c r="EN83" s="154"/>
      <c r="EO83" s="154"/>
      <c r="EP83" s="154"/>
      <c r="EQ83" s="154"/>
      <c r="ER83" s="154"/>
      <c r="ES83" s="154"/>
      <c r="ET83" s="154"/>
      <c r="EU83" s="154"/>
      <c r="EV83" s="154"/>
      <c r="EW83" s="154"/>
      <c r="EX83" s="154"/>
      <c r="EY83" s="154"/>
      <c r="EZ83" s="154"/>
      <c r="FA83" s="154"/>
      <c r="FB83" s="154"/>
      <c r="FC83" s="154"/>
      <c r="FD83" s="154"/>
      <c r="FE83" s="154"/>
    </row>
    <row r="84" spans="1:161">
      <c r="A84" s="154" t="str">
        <f>CONCATENATE(Itemdata_1.2!A3,"   ",IF(Itemdata_1.2!B3="",,CONCATENATE(Itemdata_1.2!B3,"   ")),IF(Itemdata_1.2!C3="",,CONCATENATE(Itemdata_1.2!C3,"   ")),IF(Itemdata_1.2!D3="",,CONCATENATE(Itemdata_1.2!D3,"   ")),IF(Itemdata_1.2!E3="",,CONCATENATE(Itemdata_1.2!E3,"   ")),IF(Itemdata_1.2!F3="",,CONCATENATE(Itemdata_1.2!F3,"   ")),Itemdata_1.2!G3)</f>
        <v xml:space="preserve">                          </v>
      </c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4"/>
      <c r="AQ84" s="154"/>
      <c r="AR84" s="154"/>
      <c r="AS84" s="154"/>
      <c r="AT84" s="154"/>
      <c r="AU84" s="154"/>
      <c r="AV84" s="154"/>
      <c r="AW84" s="154"/>
      <c r="AX84" s="154"/>
      <c r="AY84" s="154"/>
      <c r="AZ84" s="154"/>
      <c r="BA84" s="154"/>
      <c r="BB84" s="154"/>
      <c r="BC84" s="183"/>
      <c r="BD84" s="154"/>
      <c r="BE84" s="154"/>
      <c r="BF84" s="154"/>
      <c r="BG84" s="154"/>
      <c r="BH84" s="154"/>
      <c r="BI84" s="154"/>
      <c r="BJ84" s="154"/>
      <c r="BK84" s="154"/>
      <c r="BL84" s="154"/>
      <c r="BM84" s="154"/>
      <c r="BN84" s="154"/>
      <c r="BO84" s="154"/>
      <c r="BP84" s="154"/>
      <c r="BQ84" s="154"/>
      <c r="BR84" s="154"/>
      <c r="BS84" s="154"/>
      <c r="BT84" s="154"/>
      <c r="BU84" s="154"/>
      <c r="BV84" s="154"/>
      <c r="BW84" s="154"/>
      <c r="BX84" s="154"/>
      <c r="BY84" s="154"/>
      <c r="BZ84" s="154"/>
      <c r="CA84" s="154"/>
      <c r="CB84" s="154"/>
      <c r="CC84" s="154"/>
      <c r="CD84" s="154"/>
      <c r="CE84" s="154"/>
      <c r="CF84" s="154"/>
      <c r="CG84" s="154"/>
      <c r="CH84" s="154"/>
      <c r="CI84" s="154"/>
      <c r="CJ84" s="154"/>
      <c r="CK84" s="154"/>
      <c r="CL84" s="154"/>
      <c r="CM84" s="154"/>
      <c r="CN84" s="154"/>
      <c r="CO84" s="154"/>
      <c r="CP84" s="183"/>
      <c r="CQ84" s="154"/>
      <c r="CR84" s="154"/>
      <c r="CS84" s="154"/>
      <c r="CT84" s="154"/>
      <c r="CU84" s="154"/>
      <c r="CV84" s="154"/>
      <c r="CW84" s="154"/>
      <c r="CX84" s="154"/>
      <c r="CY84" s="154"/>
      <c r="CZ84" s="154"/>
      <c r="DA84" s="154"/>
      <c r="DB84" s="154"/>
      <c r="DC84" s="154"/>
      <c r="DD84" s="154"/>
      <c r="DE84" s="154"/>
      <c r="DF84" s="154"/>
      <c r="DG84" s="154"/>
      <c r="DH84" s="154"/>
      <c r="DI84" s="154"/>
      <c r="DJ84" s="154"/>
      <c r="DK84" s="154"/>
      <c r="DL84" s="154"/>
      <c r="DM84" s="154"/>
      <c r="DN84" s="154"/>
      <c r="DO84" s="154"/>
      <c r="DP84" s="154"/>
      <c r="DQ84" s="154"/>
      <c r="DR84" s="154"/>
      <c r="DS84" s="154"/>
      <c r="DT84" s="154"/>
      <c r="DU84" s="154"/>
      <c r="DV84" s="154"/>
      <c r="DW84" s="154"/>
      <c r="DX84" s="154"/>
      <c r="DY84" s="154"/>
      <c r="DZ84" s="154"/>
      <c r="EA84" s="154"/>
      <c r="EB84" s="154"/>
      <c r="EC84" s="154"/>
      <c r="ED84" s="154"/>
      <c r="EE84" s="154"/>
      <c r="EF84" s="154"/>
      <c r="EG84" s="154"/>
      <c r="EH84" s="154"/>
      <c r="EI84" s="154"/>
      <c r="EJ84" s="154"/>
      <c r="EK84" s="154"/>
      <c r="EL84" s="154"/>
      <c r="EM84" s="154"/>
      <c r="EN84" s="154"/>
      <c r="EO84" s="154"/>
      <c r="EP84" s="154"/>
      <c r="EQ84" s="154"/>
      <c r="ER84" s="154"/>
      <c r="ES84" s="154"/>
      <c r="ET84" s="154"/>
      <c r="EU84" s="154"/>
      <c r="EV84" s="154"/>
      <c r="EW84" s="154"/>
      <c r="EX84" s="154"/>
      <c r="EY84" s="154"/>
      <c r="EZ84" s="154"/>
      <c r="FA84" s="154"/>
      <c r="FB84" s="154"/>
      <c r="FC84" s="154"/>
      <c r="FD84" s="154"/>
      <c r="FE84" s="154"/>
    </row>
    <row r="85" spans="1:161">
      <c r="A85" s="154" t="str">
        <f>CONCATENATE(Itemdata_1.2!A4,"   ",IF(Itemdata_1.2!B4="",,CONCATENATE(Itemdata_1.2!B4,"   ")),IF(Itemdata_1.2!C4="",,CONCATENATE(Itemdata_1.2!C4,"   ")),IF(Itemdata_1.2!D4="",,CONCATENATE(Itemdata_1.2!D4,"   ")),IF(Itemdata_1.2!E4="",,CONCATENATE(Itemdata_1.2!E4,"   ")),IF(Itemdata_1.2!F4="",,CONCATENATE(Itemdata_1.2!F4,"   ")),Itemdata_1.2!G4)</f>
        <v xml:space="preserve">                          </v>
      </c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154"/>
      <c r="AV85" s="154"/>
      <c r="AW85" s="154"/>
      <c r="AX85" s="154"/>
      <c r="AY85" s="154"/>
      <c r="AZ85" s="154"/>
      <c r="BA85" s="154"/>
      <c r="BB85" s="154"/>
      <c r="BC85" s="154"/>
      <c r="BD85" s="154"/>
      <c r="BE85" s="154"/>
      <c r="BF85" s="154"/>
      <c r="BG85" s="154"/>
      <c r="BH85" s="154"/>
      <c r="BI85" s="154"/>
      <c r="BJ85" s="154"/>
      <c r="BK85" s="154"/>
      <c r="BL85" s="154"/>
      <c r="BM85" s="154"/>
      <c r="BN85" s="154"/>
      <c r="BO85" s="154"/>
      <c r="BP85" s="154"/>
      <c r="BQ85" s="154"/>
      <c r="BR85" s="154"/>
      <c r="BS85" s="154"/>
      <c r="BT85" s="154"/>
      <c r="BU85" s="154"/>
      <c r="BV85" s="154"/>
      <c r="BW85" s="154"/>
      <c r="BX85" s="154"/>
      <c r="BY85" s="154"/>
      <c r="BZ85" s="154"/>
      <c r="CA85" s="154"/>
      <c r="CB85" s="154"/>
      <c r="CC85" s="154"/>
      <c r="CD85" s="154"/>
      <c r="CE85" s="154"/>
      <c r="CF85" s="154"/>
      <c r="CG85" s="154"/>
      <c r="CH85" s="154"/>
      <c r="CI85" s="154"/>
      <c r="CJ85" s="154"/>
      <c r="CK85" s="154"/>
      <c r="CL85" s="154"/>
      <c r="CM85" s="154"/>
      <c r="CN85" s="154"/>
      <c r="CO85" s="154"/>
      <c r="CP85" s="154"/>
      <c r="CQ85" s="154"/>
      <c r="CR85" s="154"/>
      <c r="CS85" s="154"/>
      <c r="CT85" s="154"/>
      <c r="CU85" s="154"/>
      <c r="CV85" s="154"/>
      <c r="CW85" s="154"/>
      <c r="CX85" s="154"/>
      <c r="CY85" s="154"/>
      <c r="CZ85" s="154"/>
      <c r="DA85" s="154"/>
      <c r="DB85" s="154"/>
      <c r="DC85" s="154"/>
      <c r="DD85" s="154"/>
      <c r="DE85" s="154"/>
      <c r="DF85" s="154"/>
      <c r="DG85" s="154"/>
      <c r="DH85" s="154"/>
      <c r="DI85" s="154"/>
      <c r="DJ85" s="154"/>
      <c r="DK85" s="154"/>
      <c r="DL85" s="154"/>
      <c r="DM85" s="154"/>
      <c r="DN85" s="154"/>
      <c r="DO85" s="154"/>
      <c r="DP85" s="154"/>
      <c r="DQ85" s="154"/>
      <c r="DR85" s="154"/>
      <c r="DS85" s="154"/>
      <c r="DT85" s="154"/>
      <c r="DU85" s="154"/>
      <c r="DV85" s="154"/>
      <c r="DW85" s="154"/>
      <c r="DX85" s="154"/>
      <c r="DY85" s="154"/>
      <c r="DZ85" s="154"/>
      <c r="EA85" s="154"/>
      <c r="EB85" s="154"/>
      <c r="EC85" s="154"/>
      <c r="ED85" s="154"/>
      <c r="EE85" s="154"/>
      <c r="EF85" s="154"/>
      <c r="EG85" s="154"/>
      <c r="EH85" s="154"/>
      <c r="EI85" s="154"/>
      <c r="EJ85" s="154"/>
      <c r="EK85" s="154"/>
      <c r="EL85" s="154"/>
      <c r="EM85" s="154"/>
      <c r="EN85" s="154"/>
      <c r="EO85" s="154"/>
      <c r="EP85" s="154"/>
      <c r="EQ85" s="154"/>
      <c r="ER85" s="154"/>
      <c r="ES85" s="154"/>
      <c r="ET85" s="154"/>
      <c r="EU85" s="154"/>
      <c r="EV85" s="154"/>
      <c r="EW85" s="154"/>
      <c r="EX85" s="154"/>
      <c r="EY85" s="154"/>
      <c r="EZ85" s="154"/>
      <c r="FA85" s="154"/>
      <c r="FB85" s="154"/>
      <c r="FC85" s="154"/>
      <c r="FD85" s="154"/>
      <c r="FE85" s="154"/>
    </row>
    <row r="86" spans="1:161">
      <c r="A86" s="154" t="str">
        <f>CONCATENATE(Itemdata_1.2!A5,"   ",IF(Itemdata_1.2!B5="",,CONCATENATE(Itemdata_1.2!B5,"   ")),IF(Itemdata_1.2!C5="",,CONCATENATE(Itemdata_1.2!C5,"   ")),IF(Itemdata_1.2!D5="",,CONCATENATE(Itemdata_1.2!D5,"   ")),IF(Itemdata_1.2!E5="",,CONCATENATE(Itemdata_1.2!E5,"   ")),IF(Itemdata_1.2!F5="",,CONCATENATE(Itemdata_1.2!F5,"   ")),Itemdata_1.2!G5)</f>
        <v xml:space="preserve">                          </v>
      </c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4"/>
      <c r="AV86" s="154"/>
      <c r="AW86" s="154"/>
      <c r="AX86" s="154"/>
      <c r="AY86" s="154"/>
      <c r="AZ86" s="154"/>
      <c r="BA86" s="154"/>
      <c r="BB86" s="154"/>
      <c r="BC86" s="154"/>
      <c r="BD86" s="154"/>
      <c r="BE86" s="154"/>
      <c r="BF86" s="154"/>
      <c r="BG86" s="154"/>
      <c r="BH86" s="154"/>
      <c r="BI86" s="154"/>
      <c r="BJ86" s="154"/>
      <c r="BK86" s="154"/>
      <c r="BL86" s="154"/>
      <c r="BM86" s="154"/>
      <c r="BN86" s="154"/>
      <c r="BO86" s="154"/>
      <c r="BP86" s="154"/>
      <c r="BQ86" s="154"/>
      <c r="BR86" s="154"/>
      <c r="BS86" s="154"/>
      <c r="BT86" s="154"/>
      <c r="BU86" s="154"/>
      <c r="BV86" s="154"/>
      <c r="BW86" s="154"/>
      <c r="BX86" s="154"/>
      <c r="BY86" s="154"/>
      <c r="BZ86" s="154"/>
      <c r="CA86" s="154"/>
      <c r="CB86" s="154"/>
      <c r="CC86" s="154"/>
      <c r="CD86" s="154"/>
      <c r="CE86" s="154"/>
      <c r="CF86" s="154"/>
      <c r="CG86" s="154"/>
      <c r="CH86" s="154"/>
      <c r="CI86" s="154"/>
      <c r="CJ86" s="154"/>
      <c r="CK86" s="154"/>
      <c r="CL86" s="154"/>
      <c r="CM86" s="154"/>
      <c r="CN86" s="154"/>
      <c r="CO86" s="154"/>
      <c r="CP86" s="154"/>
      <c r="CQ86" s="154"/>
      <c r="CR86" s="154"/>
      <c r="CS86" s="154"/>
      <c r="CT86" s="154"/>
      <c r="CU86" s="154"/>
      <c r="CV86" s="154"/>
      <c r="CW86" s="154"/>
      <c r="CX86" s="154"/>
      <c r="CY86" s="154"/>
      <c r="CZ86" s="154"/>
      <c r="DA86" s="154"/>
      <c r="DB86" s="154"/>
      <c r="DC86" s="154"/>
      <c r="DD86" s="154"/>
      <c r="DE86" s="154"/>
      <c r="DF86" s="154"/>
      <c r="DG86" s="154"/>
      <c r="DH86" s="154"/>
      <c r="DI86" s="154"/>
      <c r="DJ86" s="154"/>
      <c r="DK86" s="154"/>
      <c r="DL86" s="154"/>
      <c r="DM86" s="154"/>
      <c r="DN86" s="154"/>
      <c r="DO86" s="154"/>
      <c r="DP86" s="154"/>
      <c r="DQ86" s="154"/>
      <c r="DR86" s="154"/>
      <c r="DS86" s="154"/>
      <c r="DT86" s="154"/>
      <c r="DU86" s="154"/>
      <c r="DV86" s="154"/>
      <c r="DW86" s="154"/>
      <c r="DX86" s="154"/>
      <c r="DY86" s="154"/>
      <c r="DZ86" s="154"/>
      <c r="EA86" s="154"/>
      <c r="EB86" s="154"/>
      <c r="EC86" s="154"/>
      <c r="ED86" s="154"/>
      <c r="EE86" s="154"/>
      <c r="EF86" s="154"/>
      <c r="EG86" s="154"/>
      <c r="EH86" s="154"/>
      <c r="EI86" s="154"/>
      <c r="EJ86" s="154"/>
      <c r="EK86" s="154"/>
      <c r="EL86" s="154"/>
      <c r="EM86" s="154"/>
      <c r="EN86" s="154"/>
      <c r="EO86" s="154"/>
      <c r="EP86" s="154"/>
      <c r="EQ86" s="154"/>
      <c r="ER86" s="154"/>
      <c r="ES86" s="154"/>
      <c r="ET86" s="154"/>
      <c r="EU86" s="154"/>
      <c r="EV86" s="154"/>
      <c r="EW86" s="154"/>
      <c r="EX86" s="154"/>
      <c r="EY86" s="154"/>
      <c r="EZ86" s="154"/>
      <c r="FA86" s="154"/>
      <c r="FB86" s="154"/>
      <c r="FC86" s="154"/>
      <c r="FD86" s="154"/>
      <c r="FE86" s="154"/>
    </row>
    <row r="87" spans="1:161">
      <c r="A87" s="154" t="str">
        <f>CONCATENATE(Itemdata_1.2!A6,"   ",IF(Itemdata_1.2!B6="",,CONCATENATE(Itemdata_1.2!B6,"   ")),IF(Itemdata_1.2!C6="",,CONCATENATE(Itemdata_1.2!C6,"   ")),IF(Itemdata_1.2!D6="",,CONCATENATE(Itemdata_1.2!D6,"   ")),IF(Itemdata_1.2!E6="",,CONCATENATE(Itemdata_1.2!E6,"   ")),IF(Itemdata_1.2!F6="",,CONCATENATE(Itemdata_1.2!F6,"   ")),Itemdata_1.2!G6)</f>
        <v xml:space="preserve">                          </v>
      </c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154"/>
      <c r="AV87" s="154"/>
      <c r="AW87" s="154"/>
      <c r="AX87" s="154"/>
      <c r="AY87" s="154"/>
      <c r="AZ87" s="154"/>
      <c r="BA87" s="154"/>
      <c r="BB87" s="154"/>
      <c r="BC87" s="154"/>
      <c r="BD87" s="154"/>
      <c r="BE87" s="154"/>
      <c r="BF87" s="154"/>
      <c r="BG87" s="154"/>
      <c r="BH87" s="154"/>
      <c r="BI87" s="154"/>
      <c r="BJ87" s="154"/>
      <c r="BK87" s="154"/>
      <c r="BL87" s="154"/>
      <c r="BM87" s="154"/>
      <c r="BN87" s="154"/>
      <c r="BO87" s="154"/>
      <c r="BP87" s="154"/>
      <c r="BQ87" s="154"/>
      <c r="BR87" s="154"/>
      <c r="BS87" s="154"/>
      <c r="BT87" s="154"/>
      <c r="BU87" s="154"/>
      <c r="BV87" s="154"/>
      <c r="BW87" s="154"/>
      <c r="BX87" s="154"/>
      <c r="BY87" s="154"/>
      <c r="BZ87" s="154"/>
      <c r="CA87" s="154"/>
      <c r="CB87" s="154"/>
      <c r="CC87" s="154"/>
      <c r="CD87" s="154"/>
      <c r="CE87" s="154"/>
      <c r="CF87" s="154"/>
      <c r="CG87" s="154"/>
      <c r="CH87" s="154"/>
      <c r="CI87" s="154"/>
      <c r="CJ87" s="154"/>
      <c r="CK87" s="154"/>
      <c r="CL87" s="154"/>
      <c r="CM87" s="154"/>
      <c r="CN87" s="154"/>
      <c r="CO87" s="154"/>
      <c r="CP87" s="154"/>
      <c r="CQ87" s="154"/>
      <c r="CR87" s="154"/>
      <c r="CS87" s="154"/>
      <c r="CT87" s="154"/>
      <c r="CU87" s="154"/>
      <c r="CV87" s="154"/>
      <c r="CW87" s="154"/>
      <c r="CX87" s="154"/>
      <c r="CY87" s="154"/>
      <c r="CZ87" s="154"/>
      <c r="DA87" s="154"/>
      <c r="DB87" s="154"/>
      <c r="DC87" s="154"/>
      <c r="DD87" s="154"/>
      <c r="DE87" s="154"/>
      <c r="DF87" s="154"/>
      <c r="DG87" s="154"/>
      <c r="DH87" s="154"/>
      <c r="DI87" s="154"/>
      <c r="DJ87" s="154"/>
      <c r="DK87" s="154"/>
      <c r="DL87" s="154"/>
      <c r="DM87" s="154"/>
      <c r="DN87" s="154"/>
      <c r="DO87" s="154"/>
      <c r="DP87" s="154"/>
      <c r="DQ87" s="154"/>
      <c r="DR87" s="154"/>
      <c r="DS87" s="154"/>
      <c r="DT87" s="154"/>
      <c r="DU87" s="154"/>
      <c r="DV87" s="154"/>
      <c r="DW87" s="154"/>
      <c r="DX87" s="154"/>
      <c r="DY87" s="154"/>
      <c r="DZ87" s="154"/>
      <c r="EA87" s="154"/>
      <c r="EB87" s="154"/>
      <c r="EC87" s="154"/>
      <c r="ED87" s="154"/>
      <c r="EE87" s="154"/>
      <c r="EF87" s="154"/>
      <c r="EG87" s="154"/>
      <c r="EH87" s="154"/>
      <c r="EI87" s="154"/>
      <c r="EJ87" s="154"/>
      <c r="EK87" s="154"/>
      <c r="EL87" s="154"/>
      <c r="EM87" s="154"/>
      <c r="EN87" s="154"/>
      <c r="EO87" s="154"/>
      <c r="EP87" s="154"/>
      <c r="EQ87" s="154"/>
      <c r="ER87" s="154"/>
      <c r="ES87" s="154"/>
      <c r="ET87" s="154"/>
      <c r="EU87" s="154"/>
      <c r="EV87" s="154"/>
      <c r="EW87" s="154"/>
      <c r="EX87" s="154"/>
      <c r="EY87" s="154"/>
      <c r="EZ87" s="154"/>
      <c r="FA87" s="154"/>
      <c r="FB87" s="154"/>
      <c r="FC87" s="154"/>
      <c r="FD87" s="154"/>
      <c r="FE87" s="154"/>
    </row>
    <row r="88" spans="1:161">
      <c r="A88" s="154" t="str">
        <f>CONCATENATE(Itemdata_1.2!A7,"   ",IF(Itemdata_1.2!B7="",,CONCATENATE(Itemdata_1.2!B7,"   ")),IF(Itemdata_1.2!C7="",,CONCATENATE(Itemdata_1.2!C7,"   ")),IF(Itemdata_1.2!D7="",,CONCATENATE(Itemdata_1.2!D7,"   ")),IF(Itemdata_1.2!E7="",,CONCATENATE(Itemdata_1.2!E7,"   ")),IF(Itemdata_1.2!F7="",,CONCATENATE(Itemdata_1.2!F7,"   ")),Itemdata_1.2!G7)</f>
        <v xml:space="preserve">                          </v>
      </c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154"/>
      <c r="AV88" s="154"/>
      <c r="AW88" s="154"/>
      <c r="AX88" s="154"/>
      <c r="AY88" s="154"/>
      <c r="AZ88" s="154"/>
      <c r="BA88" s="154"/>
      <c r="BB88" s="154"/>
      <c r="BC88" s="154"/>
      <c r="BD88" s="154"/>
      <c r="BE88" s="154"/>
      <c r="BF88" s="154"/>
      <c r="BG88" s="154"/>
      <c r="BH88" s="154"/>
      <c r="BI88" s="154"/>
      <c r="BJ88" s="154"/>
      <c r="BK88" s="154"/>
      <c r="BL88" s="154"/>
      <c r="BM88" s="154"/>
      <c r="BN88" s="154"/>
      <c r="BO88" s="154"/>
      <c r="BP88" s="154"/>
      <c r="BQ88" s="154"/>
      <c r="BR88" s="154"/>
      <c r="BS88" s="154"/>
      <c r="BT88" s="154"/>
      <c r="BU88" s="154"/>
      <c r="BV88" s="154"/>
      <c r="BW88" s="154"/>
      <c r="BX88" s="154"/>
      <c r="BY88" s="154"/>
      <c r="BZ88" s="154"/>
      <c r="CA88" s="154"/>
      <c r="CB88" s="154"/>
      <c r="CC88" s="154"/>
      <c r="CD88" s="154"/>
      <c r="CE88" s="154"/>
      <c r="CF88" s="154"/>
      <c r="CG88" s="154"/>
      <c r="CH88" s="154"/>
      <c r="CI88" s="154"/>
      <c r="CJ88" s="154"/>
      <c r="CK88" s="154"/>
      <c r="CL88" s="154"/>
      <c r="CM88" s="154"/>
      <c r="CN88" s="154"/>
      <c r="CO88" s="154"/>
      <c r="CP88" s="154"/>
      <c r="CQ88" s="154"/>
      <c r="CR88" s="154"/>
      <c r="CS88" s="154"/>
      <c r="CT88" s="154"/>
      <c r="CU88" s="154"/>
      <c r="CV88" s="154"/>
      <c r="CW88" s="154"/>
      <c r="CX88" s="154"/>
      <c r="CY88" s="154"/>
      <c r="CZ88" s="154"/>
      <c r="DA88" s="154"/>
      <c r="DB88" s="154"/>
      <c r="DC88" s="154"/>
      <c r="DD88" s="154"/>
      <c r="DE88" s="154"/>
      <c r="DF88" s="154"/>
      <c r="DG88" s="154"/>
      <c r="DH88" s="154"/>
      <c r="DI88" s="154"/>
      <c r="DJ88" s="154"/>
      <c r="DK88" s="154"/>
      <c r="DL88" s="154"/>
      <c r="DM88" s="154"/>
      <c r="DN88" s="154"/>
      <c r="DO88" s="154"/>
      <c r="DP88" s="154"/>
      <c r="DQ88" s="154"/>
      <c r="DR88" s="154"/>
      <c r="DS88" s="154"/>
      <c r="DT88" s="154"/>
      <c r="DU88" s="154"/>
      <c r="DV88" s="154"/>
      <c r="DW88" s="154"/>
      <c r="DX88" s="154"/>
      <c r="DY88" s="154"/>
      <c r="DZ88" s="154"/>
      <c r="EA88" s="154"/>
      <c r="EB88" s="154"/>
      <c r="EC88" s="154"/>
      <c r="ED88" s="154"/>
      <c r="EE88" s="154"/>
      <c r="EF88" s="154"/>
      <c r="EG88" s="154"/>
      <c r="EH88" s="154"/>
      <c r="EI88" s="154"/>
      <c r="EJ88" s="154"/>
      <c r="EK88" s="154"/>
      <c r="EL88" s="154"/>
      <c r="EM88" s="154"/>
      <c r="EN88" s="154"/>
      <c r="EO88" s="154"/>
      <c r="EP88" s="154"/>
      <c r="EQ88" s="154"/>
      <c r="ER88" s="154"/>
      <c r="ES88" s="154"/>
      <c r="ET88" s="154"/>
      <c r="EU88" s="154"/>
      <c r="EV88" s="154"/>
      <c r="EW88" s="154"/>
      <c r="EX88" s="154"/>
      <c r="EY88" s="154"/>
      <c r="EZ88" s="154"/>
      <c r="FA88" s="154"/>
      <c r="FB88" s="154"/>
      <c r="FC88" s="154"/>
      <c r="FD88" s="154"/>
      <c r="FE88" s="154"/>
    </row>
    <row r="89" spans="1:161">
      <c r="A89" s="154" t="str">
        <f>CONCATENATE(Itemdata_1.2!A8,"   ",IF(Itemdata_1.2!B8="",,CONCATENATE(Itemdata_1.2!B8,"   ")),IF(Itemdata_1.2!C8="",,CONCATENATE(Itemdata_1.2!C8,"   ")),IF(Itemdata_1.2!D8="",,CONCATENATE(Itemdata_1.2!D8,"   ")),IF(Itemdata_1.2!E8="",,CONCATENATE(Itemdata_1.2!E8,"   ")),IF(Itemdata_1.2!F8="",,CONCATENATE(Itemdata_1.2!F8,"   ")),Itemdata_1.2!G8)</f>
        <v xml:space="preserve">                          </v>
      </c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154"/>
      <c r="AV89" s="154"/>
      <c r="AW89" s="154"/>
      <c r="AX89" s="154"/>
      <c r="AY89" s="154"/>
      <c r="AZ89" s="154"/>
      <c r="BA89" s="154"/>
      <c r="BB89" s="154"/>
      <c r="BC89" s="154"/>
      <c r="BD89" s="154"/>
      <c r="BE89" s="154"/>
      <c r="BF89" s="154"/>
      <c r="BG89" s="154"/>
      <c r="BH89" s="154"/>
      <c r="BI89" s="154"/>
      <c r="BJ89" s="154"/>
      <c r="BK89" s="154"/>
      <c r="BL89" s="154"/>
      <c r="BM89" s="154"/>
      <c r="BN89" s="154"/>
      <c r="BO89" s="154"/>
      <c r="BP89" s="154"/>
      <c r="BQ89" s="154"/>
      <c r="BR89" s="154"/>
      <c r="BS89" s="154"/>
      <c r="BT89" s="154"/>
      <c r="BU89" s="154"/>
      <c r="BV89" s="154"/>
      <c r="BW89" s="154"/>
      <c r="BX89" s="154"/>
      <c r="BY89" s="154"/>
      <c r="BZ89" s="154"/>
      <c r="CA89" s="154"/>
      <c r="CB89" s="154"/>
      <c r="CC89" s="154"/>
      <c r="CD89" s="154"/>
      <c r="CE89" s="154"/>
      <c r="CF89" s="154"/>
      <c r="CG89" s="154"/>
      <c r="CH89" s="154"/>
      <c r="CI89" s="154"/>
      <c r="CJ89" s="154"/>
      <c r="CK89" s="154"/>
      <c r="CL89" s="154"/>
      <c r="CM89" s="154"/>
      <c r="CN89" s="154"/>
      <c r="CO89" s="154"/>
      <c r="CP89" s="154"/>
      <c r="CQ89" s="154"/>
      <c r="CR89" s="154"/>
      <c r="CS89" s="154"/>
      <c r="CT89" s="154"/>
      <c r="CU89" s="154"/>
      <c r="CV89" s="154"/>
      <c r="CW89" s="154"/>
      <c r="CX89" s="154"/>
      <c r="CY89" s="154"/>
      <c r="CZ89" s="154"/>
      <c r="DA89" s="154"/>
      <c r="DB89" s="154"/>
      <c r="DC89" s="154"/>
      <c r="DD89" s="154"/>
      <c r="DE89" s="154"/>
      <c r="DF89" s="154"/>
      <c r="DG89" s="154"/>
      <c r="DH89" s="154"/>
      <c r="DI89" s="154"/>
      <c r="DJ89" s="154"/>
      <c r="DK89" s="154"/>
      <c r="DL89" s="154"/>
      <c r="DM89" s="154"/>
      <c r="DN89" s="154"/>
      <c r="DO89" s="154"/>
      <c r="DP89" s="154"/>
      <c r="DQ89" s="154"/>
      <c r="DR89" s="154"/>
      <c r="DS89" s="154"/>
      <c r="DT89" s="154"/>
      <c r="DU89" s="154"/>
      <c r="DV89" s="154"/>
      <c r="DW89" s="154"/>
      <c r="DX89" s="154"/>
      <c r="DY89" s="154"/>
      <c r="DZ89" s="154"/>
      <c r="EA89" s="154"/>
      <c r="EB89" s="154"/>
      <c r="EC89" s="154"/>
      <c r="ED89" s="154"/>
      <c r="EE89" s="154"/>
      <c r="EF89" s="154"/>
      <c r="EG89" s="154"/>
      <c r="EH89" s="154"/>
      <c r="EI89" s="154"/>
      <c r="EJ89" s="154"/>
      <c r="EK89" s="154"/>
      <c r="EL89" s="154"/>
      <c r="EM89" s="154"/>
      <c r="EN89" s="154"/>
      <c r="EO89" s="154"/>
      <c r="EP89" s="154"/>
      <c r="EQ89" s="154"/>
      <c r="ER89" s="154"/>
      <c r="ES89" s="154"/>
      <c r="ET89" s="154"/>
      <c r="EU89" s="154"/>
      <c r="EV89" s="154"/>
      <c r="EW89" s="154"/>
      <c r="EX89" s="154"/>
      <c r="EY89" s="154"/>
      <c r="EZ89" s="154"/>
      <c r="FA89" s="154"/>
      <c r="FB89" s="154"/>
      <c r="FC89" s="154"/>
      <c r="FD89" s="154"/>
      <c r="FE89" s="154"/>
    </row>
    <row r="90" spans="1:161">
      <c r="FE90" s="17" t="s">
        <v>91</v>
      </c>
    </row>
    <row r="91" spans="1:161" ht="2.1" customHeight="1"/>
    <row r="92" spans="1:161">
      <c r="A92" s="1" t="s">
        <v>79</v>
      </c>
    </row>
    <row r="93" spans="1:161">
      <c r="H93" s="1" t="s">
        <v>78</v>
      </c>
      <c r="AE93" s="24"/>
      <c r="AF93" s="115" t="str">
        <f>IF(Itemdata_2.3!N3&gt;0,DAY(Itemdata_2.3!N3),"")</f>
        <v/>
      </c>
      <c r="AG93" s="115"/>
      <c r="AH93" s="115"/>
      <c r="AI93" s="115"/>
      <c r="AJ93" s="1" t="s">
        <v>5</v>
      </c>
      <c r="AL93" s="115" t="str">
        <f>IF(Itemdata_2.3!N3&gt;0,MONTH(Itemdata_2.3!N3),"")</f>
        <v/>
      </c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5"/>
      <c r="BC93" s="115"/>
      <c r="BD93" s="115"/>
      <c r="BE93" s="115"/>
      <c r="BF93" s="115"/>
      <c r="BG93" s="5"/>
      <c r="BH93" s="5"/>
      <c r="BI93" s="127" t="str">
        <f>IF(Itemdata_2.3!N3&gt;0,YEAR(Itemdata_2.3!N3),"")</f>
        <v/>
      </c>
      <c r="BJ93" s="131"/>
      <c r="BK93" s="131"/>
      <c r="BL93" s="131"/>
      <c r="BM93" s="131"/>
      <c r="BN93" s="1" t="s">
        <v>6</v>
      </c>
    </row>
    <row r="94" spans="1:161">
      <c r="H94" s="153" t="s">
        <v>80</v>
      </c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  <c r="AW94" s="153"/>
      <c r="AX94" s="153"/>
      <c r="AY94" s="153"/>
      <c r="AZ94" s="153"/>
      <c r="BA94" s="153"/>
      <c r="BB94" s="10"/>
      <c r="BC94" s="155" t="s">
        <v>412</v>
      </c>
      <c r="BD94" s="156"/>
      <c r="BE94" s="156"/>
      <c r="BF94" s="156"/>
      <c r="BG94" s="156"/>
      <c r="BH94" s="156"/>
      <c r="BI94" s="156"/>
      <c r="BJ94" s="156"/>
      <c r="BK94" s="156"/>
      <c r="BL94" s="156"/>
      <c r="BM94" s="156"/>
      <c r="BN94" s="156"/>
      <c r="BO94" s="156"/>
      <c r="BP94" s="156"/>
      <c r="BQ94" s="156"/>
      <c r="BR94" s="156"/>
      <c r="BS94" s="156"/>
      <c r="BT94" s="156"/>
      <c r="BU94" s="156"/>
      <c r="BV94" s="156"/>
      <c r="CD94" s="153" t="s">
        <v>81</v>
      </c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P94" s="156" t="s">
        <v>350</v>
      </c>
      <c r="CQ94" s="156"/>
      <c r="CR94" s="156"/>
      <c r="CS94" s="156"/>
      <c r="CT94" s="156"/>
      <c r="CU94" s="156"/>
      <c r="CV94" s="156"/>
      <c r="CW94" s="156"/>
      <c r="CX94" s="156"/>
      <c r="CY94" s="156"/>
      <c r="CZ94" s="156"/>
      <c r="DA94" s="156"/>
      <c r="DB94" s="156"/>
      <c r="DC94" s="156"/>
      <c r="DD94" s="156"/>
      <c r="DE94" s="156"/>
      <c r="DF94" s="156"/>
    </row>
    <row r="95" spans="1:161"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3"/>
      <c r="AP95" s="153"/>
      <c r="AQ95" s="153"/>
      <c r="AR95" s="153"/>
      <c r="AS95" s="153"/>
      <c r="AT95" s="153"/>
      <c r="AU95" s="153"/>
      <c r="AV95" s="153"/>
      <c r="AW95" s="153"/>
      <c r="AX95" s="153"/>
      <c r="AY95" s="153"/>
      <c r="AZ95" s="153"/>
      <c r="BA95" s="153"/>
      <c r="BB95" s="10"/>
      <c r="BC95" s="150" t="s">
        <v>349</v>
      </c>
      <c r="BD95" s="151"/>
      <c r="BE95" s="151"/>
      <c r="BF95" s="151"/>
      <c r="BG95" s="151"/>
      <c r="BH95" s="151"/>
      <c r="BI95" s="151"/>
      <c r="BJ95" s="151"/>
      <c r="BK95" s="151"/>
      <c r="BL95" s="151"/>
      <c r="BM95" s="151"/>
      <c r="BN95" s="151"/>
      <c r="BO95" s="151"/>
      <c r="BP95" s="151"/>
      <c r="BQ95" s="151"/>
      <c r="BR95" s="151"/>
      <c r="BS95" s="151"/>
      <c r="BT95" s="151"/>
      <c r="BU95" s="151"/>
      <c r="BV95" s="151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P95" s="296" t="s">
        <v>351</v>
      </c>
      <c r="CQ95" s="151"/>
      <c r="CR95" s="151"/>
      <c r="CS95" s="151"/>
      <c r="CT95" s="151"/>
      <c r="CU95" s="151"/>
      <c r="CV95" s="151"/>
      <c r="CW95" s="151"/>
      <c r="CX95" s="151"/>
      <c r="CY95" s="151"/>
      <c r="CZ95" s="151"/>
      <c r="DA95" s="151"/>
      <c r="DB95" s="151"/>
      <c r="DC95" s="151"/>
      <c r="DD95" s="151"/>
      <c r="DE95" s="151"/>
      <c r="DF95" s="151"/>
    </row>
    <row r="96" spans="1:161">
      <c r="A96" s="152" t="str">
        <f>+Itemdata_2.3!S3</f>
        <v xml:space="preserve"> </v>
      </c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2"/>
      <c r="BL96" s="152"/>
      <c r="BM96" s="152"/>
      <c r="BN96" s="152"/>
      <c r="BO96" s="152"/>
      <c r="BP96" s="152"/>
      <c r="BQ96" s="152"/>
      <c r="BR96" s="152"/>
      <c r="BS96" s="152"/>
      <c r="BT96" s="152"/>
      <c r="BU96" s="152"/>
      <c r="BV96" s="152"/>
      <c r="BW96" s="152"/>
      <c r="BX96" s="152"/>
      <c r="BY96" s="152"/>
      <c r="BZ96" s="152"/>
      <c r="CA96" s="152"/>
      <c r="CD96" s="152" t="str">
        <f>+Itemdata_2.3!U3</f>
        <v xml:space="preserve"> </v>
      </c>
      <c r="CE96" s="152"/>
      <c r="CF96" s="152"/>
      <c r="CG96" s="152"/>
      <c r="CH96" s="152"/>
      <c r="CI96" s="152"/>
      <c r="CJ96" s="152"/>
      <c r="CK96" s="152"/>
      <c r="CL96" s="152"/>
      <c r="CM96" s="152"/>
      <c r="CN96" s="152"/>
      <c r="CO96" s="152"/>
      <c r="CP96" s="152"/>
      <c r="CQ96" s="152"/>
      <c r="CR96" s="152"/>
      <c r="CS96" s="152"/>
      <c r="CT96" s="152"/>
      <c r="CU96" s="152"/>
      <c r="CV96" s="152"/>
      <c r="CW96" s="152"/>
      <c r="CX96" s="152"/>
      <c r="CY96" s="152"/>
      <c r="CZ96" s="152"/>
      <c r="DA96" s="152"/>
      <c r="DB96" s="152"/>
      <c r="DC96" s="152"/>
      <c r="DD96" s="152"/>
      <c r="DE96" s="152"/>
      <c r="DF96" s="152"/>
      <c r="DG96" s="152"/>
      <c r="DH96" s="152"/>
      <c r="DI96" s="152"/>
      <c r="DJ96" s="152"/>
      <c r="DK96" s="152"/>
      <c r="DL96" s="152"/>
      <c r="DM96" s="152"/>
      <c r="DN96" s="152"/>
      <c r="DO96" s="152"/>
      <c r="DP96" s="152"/>
      <c r="DQ96" s="152"/>
      <c r="DR96" s="152"/>
      <c r="DS96" s="152"/>
      <c r="DT96" s="152"/>
      <c r="DU96" s="152"/>
      <c r="DV96" s="152"/>
      <c r="DW96" s="152"/>
      <c r="DX96" s="152"/>
      <c r="DY96" s="152"/>
      <c r="DZ96" s="152"/>
      <c r="EA96" s="152"/>
      <c r="EB96" s="152"/>
      <c r="EC96" s="152"/>
      <c r="ED96" s="152"/>
      <c r="EE96" s="152"/>
      <c r="EF96" s="152"/>
      <c r="EG96" s="152"/>
      <c r="EH96" s="152"/>
      <c r="EI96" s="152"/>
      <c r="EJ96" s="152"/>
      <c r="EK96" s="152"/>
      <c r="EL96" s="152"/>
      <c r="EM96" s="152"/>
      <c r="EN96" s="152"/>
      <c r="EO96" s="152"/>
      <c r="EP96" s="152"/>
      <c r="EQ96" s="152"/>
      <c r="ER96" s="152"/>
      <c r="ES96" s="152"/>
      <c r="ET96" s="152"/>
      <c r="EU96" s="152"/>
      <c r="EV96" s="152"/>
      <c r="EW96" s="152"/>
      <c r="EX96" s="152"/>
      <c r="EY96" s="152"/>
      <c r="EZ96" s="152"/>
      <c r="FA96" s="152"/>
      <c r="FB96" s="152"/>
      <c r="FC96" s="152"/>
      <c r="FD96" s="152"/>
      <c r="FE96" s="152"/>
    </row>
    <row r="97" spans="1:161" s="3" customFormat="1" ht="10.5">
      <c r="A97" s="116" t="s">
        <v>82</v>
      </c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116"/>
      <c r="AZ97" s="116"/>
      <c r="BA97" s="116"/>
      <c r="BB97" s="116"/>
      <c r="BC97" s="116"/>
      <c r="BD97" s="116"/>
      <c r="BE97" s="116"/>
      <c r="BF97" s="116"/>
      <c r="BG97" s="116"/>
      <c r="BH97" s="116"/>
      <c r="BI97" s="116"/>
      <c r="BJ97" s="116"/>
      <c r="BK97" s="116"/>
      <c r="BL97" s="116"/>
      <c r="BM97" s="116"/>
      <c r="BN97" s="116"/>
      <c r="BO97" s="116"/>
      <c r="BP97" s="116"/>
      <c r="BQ97" s="116"/>
      <c r="BR97" s="116"/>
      <c r="BS97" s="116"/>
      <c r="BT97" s="116"/>
      <c r="BU97" s="116"/>
      <c r="BV97" s="116"/>
      <c r="BW97" s="116"/>
      <c r="BX97" s="116"/>
      <c r="BY97" s="116"/>
      <c r="BZ97" s="116"/>
      <c r="CA97" s="116"/>
      <c r="CD97" s="116" t="s">
        <v>83</v>
      </c>
      <c r="CE97" s="116"/>
      <c r="CF97" s="116"/>
      <c r="CG97" s="116"/>
      <c r="CH97" s="116"/>
      <c r="CI97" s="116"/>
      <c r="CJ97" s="116"/>
      <c r="CK97" s="116"/>
      <c r="CL97" s="116"/>
      <c r="CM97" s="116"/>
      <c r="CN97" s="116"/>
      <c r="CO97" s="116"/>
      <c r="CP97" s="116"/>
      <c r="CQ97" s="116"/>
      <c r="CR97" s="116"/>
      <c r="CS97" s="116"/>
      <c r="CT97" s="116"/>
      <c r="CU97" s="116"/>
      <c r="CV97" s="116"/>
      <c r="CW97" s="116"/>
      <c r="CX97" s="116"/>
      <c r="CY97" s="116"/>
      <c r="CZ97" s="116"/>
      <c r="DA97" s="116"/>
      <c r="DB97" s="116"/>
      <c r="DC97" s="116"/>
      <c r="DD97" s="116"/>
      <c r="DE97" s="116"/>
      <c r="DF97" s="116"/>
      <c r="DG97" s="116"/>
      <c r="DH97" s="116"/>
      <c r="DI97" s="116"/>
      <c r="DJ97" s="116"/>
      <c r="DK97" s="116"/>
      <c r="DL97" s="116"/>
      <c r="DM97" s="116"/>
      <c r="DN97" s="116"/>
      <c r="DO97" s="116"/>
      <c r="DP97" s="116"/>
      <c r="DQ97" s="116"/>
      <c r="DR97" s="116"/>
      <c r="DS97" s="116"/>
      <c r="DT97" s="116"/>
      <c r="DU97" s="116"/>
      <c r="DV97" s="116"/>
      <c r="DW97" s="116"/>
      <c r="DX97" s="116"/>
      <c r="DY97" s="116"/>
      <c r="DZ97" s="116"/>
      <c r="EA97" s="116"/>
      <c r="EB97" s="116"/>
      <c r="EC97" s="116"/>
      <c r="ED97" s="116"/>
      <c r="EE97" s="116"/>
      <c r="EF97" s="116"/>
      <c r="EG97" s="116"/>
      <c r="EH97" s="116"/>
      <c r="EI97" s="116"/>
      <c r="EJ97" s="116"/>
      <c r="EK97" s="116"/>
      <c r="EL97" s="116"/>
      <c r="EM97" s="116"/>
      <c r="EN97" s="116"/>
      <c r="EO97" s="116"/>
      <c r="EP97" s="116"/>
      <c r="EQ97" s="116"/>
      <c r="ER97" s="116"/>
      <c r="ES97" s="116"/>
      <c r="ET97" s="116"/>
      <c r="EU97" s="116"/>
      <c r="EV97" s="116"/>
      <c r="EW97" s="116"/>
      <c r="EX97" s="116"/>
      <c r="EY97" s="116"/>
      <c r="EZ97" s="116"/>
      <c r="FA97" s="116"/>
      <c r="FB97" s="116"/>
      <c r="FC97" s="116"/>
      <c r="FD97" s="116"/>
      <c r="FE97" s="116"/>
    </row>
    <row r="98" spans="1:161">
      <c r="A98" s="117" t="str">
        <f>+Itemdata_2.3!T3</f>
        <v xml:space="preserve"> </v>
      </c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7"/>
      <c r="CA98" s="117"/>
      <c r="CD98" s="117" t="str">
        <f>+Itemdata_2.3!V3</f>
        <v xml:space="preserve"> </v>
      </c>
      <c r="CE98" s="117"/>
      <c r="CF98" s="117"/>
      <c r="CG98" s="117"/>
      <c r="CH98" s="117"/>
      <c r="CI98" s="117"/>
      <c r="CJ98" s="117"/>
      <c r="CK98" s="117"/>
      <c r="CL98" s="117"/>
      <c r="CM98" s="117"/>
      <c r="CN98" s="117"/>
      <c r="CO98" s="117"/>
      <c r="CP98" s="117"/>
      <c r="CQ98" s="117"/>
      <c r="CR98" s="117"/>
      <c r="CS98" s="117"/>
      <c r="CT98" s="117"/>
      <c r="CU98" s="117"/>
      <c r="CV98" s="117"/>
      <c r="CW98" s="117"/>
      <c r="CX98" s="117"/>
      <c r="CY98" s="117"/>
      <c r="CZ98" s="117"/>
      <c r="DA98" s="117"/>
      <c r="DB98" s="117"/>
      <c r="DC98" s="117"/>
      <c r="DD98" s="117"/>
      <c r="DE98" s="117"/>
      <c r="DF98" s="117"/>
      <c r="DG98" s="117"/>
      <c r="DH98" s="117"/>
      <c r="DI98" s="117"/>
      <c r="DJ98" s="117"/>
      <c r="DK98" s="117"/>
      <c r="DL98" s="117"/>
      <c r="DM98" s="117"/>
      <c r="DN98" s="117"/>
      <c r="DO98" s="117"/>
      <c r="DP98" s="117"/>
      <c r="DQ98" s="117"/>
      <c r="DR98" s="117"/>
      <c r="DS98" s="117"/>
      <c r="DT98" s="117"/>
      <c r="DU98" s="117"/>
      <c r="DV98" s="117"/>
      <c r="DW98" s="117"/>
      <c r="DX98" s="117"/>
      <c r="DY98" s="117"/>
      <c r="DZ98" s="117"/>
      <c r="EA98" s="117"/>
      <c r="EB98" s="117"/>
      <c r="EC98" s="117"/>
      <c r="ED98" s="117"/>
      <c r="EE98" s="117"/>
      <c r="EF98" s="117"/>
      <c r="EG98" s="117"/>
      <c r="EH98" s="117"/>
      <c r="EI98" s="117"/>
      <c r="EJ98" s="117"/>
      <c r="EK98" s="117"/>
      <c r="EL98" s="117"/>
      <c r="EM98" s="117"/>
      <c r="EN98" s="117"/>
      <c r="EO98" s="117"/>
      <c r="EP98" s="117"/>
      <c r="EQ98" s="117"/>
      <c r="ER98" s="117"/>
      <c r="ES98" s="117"/>
      <c r="ET98" s="117"/>
      <c r="EU98" s="117"/>
      <c r="EV98" s="117"/>
      <c r="EW98" s="117"/>
      <c r="EX98" s="117"/>
      <c r="EY98" s="117"/>
      <c r="EZ98" s="117"/>
      <c r="FA98" s="117"/>
      <c r="FB98" s="117"/>
      <c r="FC98" s="117"/>
      <c r="FD98" s="117"/>
      <c r="FE98" s="117"/>
    </row>
    <row r="99" spans="1:161">
      <c r="A99" s="117" t="str">
        <f>+Itemdata_2.3!T4</f>
        <v xml:space="preserve"> </v>
      </c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17"/>
      <c r="BF99" s="117"/>
      <c r="BG99" s="117"/>
      <c r="BH99" s="117"/>
      <c r="BI99" s="117"/>
      <c r="BJ99" s="117"/>
      <c r="BK99" s="117"/>
      <c r="BL99" s="117"/>
      <c r="BM99" s="117"/>
      <c r="BN99" s="117"/>
      <c r="BO99" s="117"/>
      <c r="BP99" s="117"/>
      <c r="BQ99" s="117"/>
      <c r="BR99" s="117"/>
      <c r="BS99" s="117"/>
      <c r="BT99" s="117"/>
      <c r="BU99" s="117"/>
      <c r="BV99" s="117"/>
      <c r="BW99" s="117"/>
      <c r="BX99" s="117"/>
      <c r="BY99" s="117"/>
      <c r="BZ99" s="117"/>
      <c r="CA99" s="117"/>
      <c r="CD99" s="117" t="str">
        <f>+Itemdata_2.3!V4</f>
        <v xml:space="preserve"> </v>
      </c>
      <c r="CE99" s="117"/>
      <c r="CF99" s="117"/>
      <c r="CG99" s="117"/>
      <c r="CH99" s="117"/>
      <c r="CI99" s="117"/>
      <c r="CJ99" s="117"/>
      <c r="CK99" s="117"/>
      <c r="CL99" s="117"/>
      <c r="CM99" s="117"/>
      <c r="CN99" s="117"/>
      <c r="CO99" s="117"/>
      <c r="CP99" s="117"/>
      <c r="CQ99" s="117"/>
      <c r="CR99" s="117"/>
      <c r="CS99" s="117"/>
      <c r="CT99" s="117"/>
      <c r="CU99" s="117"/>
      <c r="CV99" s="117"/>
      <c r="CW99" s="117"/>
      <c r="CX99" s="117"/>
      <c r="CY99" s="117"/>
      <c r="CZ99" s="117"/>
      <c r="DA99" s="117"/>
      <c r="DB99" s="117"/>
      <c r="DC99" s="117"/>
      <c r="DD99" s="117"/>
      <c r="DE99" s="117"/>
      <c r="DF99" s="117"/>
      <c r="DG99" s="117"/>
      <c r="DH99" s="117"/>
      <c r="DI99" s="117"/>
      <c r="DJ99" s="117"/>
      <c r="DK99" s="117"/>
      <c r="DL99" s="117"/>
      <c r="DM99" s="117"/>
      <c r="DN99" s="117"/>
      <c r="DO99" s="117"/>
      <c r="DP99" s="117"/>
      <c r="DQ99" s="117"/>
      <c r="DR99" s="117"/>
      <c r="DS99" s="117"/>
      <c r="DT99" s="117"/>
      <c r="DU99" s="117"/>
      <c r="DV99" s="117"/>
      <c r="DW99" s="117"/>
      <c r="DX99" s="117"/>
      <c r="DY99" s="117"/>
      <c r="DZ99" s="117"/>
      <c r="EA99" s="117"/>
      <c r="EB99" s="117"/>
      <c r="EC99" s="117"/>
      <c r="ED99" s="117"/>
      <c r="EE99" s="117"/>
      <c r="EF99" s="117"/>
      <c r="EG99" s="117"/>
      <c r="EH99" s="117"/>
      <c r="EI99" s="117"/>
      <c r="EJ99" s="117"/>
      <c r="EK99" s="117"/>
      <c r="EL99" s="117"/>
      <c r="EM99" s="117"/>
      <c r="EN99" s="117"/>
      <c r="EO99" s="117"/>
      <c r="EP99" s="117"/>
      <c r="EQ99" s="117"/>
      <c r="ER99" s="117"/>
      <c r="ES99" s="117"/>
      <c r="ET99" s="117"/>
      <c r="EU99" s="117"/>
      <c r="EV99" s="117"/>
      <c r="EW99" s="117"/>
      <c r="EX99" s="117"/>
      <c r="EY99" s="117"/>
      <c r="EZ99" s="117"/>
      <c r="FA99" s="117"/>
      <c r="FB99" s="117"/>
      <c r="FC99" s="117"/>
      <c r="FD99" s="117"/>
      <c r="FE99" s="117"/>
    </row>
    <row r="100" spans="1:161">
      <c r="A100" s="1" t="s">
        <v>50</v>
      </c>
      <c r="W100" s="115" t="str">
        <f>CONCATENATE(Itemdata_2.3!W3,Itemdata_2.3!X3,Itemdata_2.3!Y3)</f>
        <v xml:space="preserve">   </v>
      </c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5"/>
      <c r="AK100" s="115"/>
      <c r="AL100" s="115"/>
      <c r="AM100" s="115"/>
      <c r="AN100" s="115"/>
      <c r="AO100" s="115"/>
      <c r="AP100" s="115"/>
      <c r="AQ100" s="115"/>
      <c r="AR100" s="115"/>
      <c r="AS100" s="115"/>
      <c r="AT100" s="115"/>
      <c r="AU100" s="115"/>
      <c r="AV100" s="115"/>
      <c r="AW100" s="115"/>
      <c r="AX100" s="115"/>
      <c r="AY100" s="115"/>
      <c r="AZ100" s="115"/>
      <c r="BA100" s="115"/>
      <c r="BB100" s="115"/>
      <c r="BC100" s="115"/>
      <c r="BD100" s="115"/>
      <c r="BE100" s="115"/>
      <c r="BF100" s="115"/>
      <c r="BG100" s="115"/>
      <c r="BH100" s="115"/>
      <c r="BI100" s="115"/>
      <c r="BJ100" s="115"/>
      <c r="BK100" s="115"/>
      <c r="BL100" s="115"/>
      <c r="BM100" s="115"/>
      <c r="BN100" s="115"/>
      <c r="BO100" s="115"/>
      <c r="BP100" s="115"/>
      <c r="BQ100" s="115"/>
      <c r="BR100" s="115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115"/>
      <c r="CD100" s="115"/>
      <c r="CE100" s="115"/>
      <c r="CF100" s="115"/>
      <c r="CG100" s="115"/>
      <c r="CH100" s="115"/>
      <c r="CI100" s="115"/>
      <c r="CJ100" s="115"/>
      <c r="CK100" s="115"/>
      <c r="CL100" s="115"/>
      <c r="CM100" s="115"/>
      <c r="CN100" s="115"/>
      <c r="CO100" s="115"/>
      <c r="CP100" s="115"/>
      <c r="CQ100" s="115"/>
      <c r="CR100" s="115"/>
      <c r="CS100" s="115"/>
      <c r="CT100" s="115"/>
      <c r="CU100" s="115"/>
      <c r="CV100" s="115"/>
      <c r="CW100" s="115"/>
      <c r="CX100" s="115"/>
      <c r="CY100" s="115"/>
      <c r="CZ100" s="115"/>
      <c r="DA100" s="115"/>
      <c r="DB100" s="115"/>
      <c r="DC100" s="115"/>
      <c r="DD100" s="115"/>
      <c r="DE100" s="115"/>
      <c r="DF100" s="115"/>
      <c r="DG100" s="115"/>
      <c r="DH100" s="115"/>
      <c r="DI100" s="115"/>
      <c r="DJ100" s="115"/>
      <c r="DK100" s="115"/>
      <c r="DL100" s="115"/>
      <c r="DM100" s="115"/>
      <c r="DN100" s="115"/>
      <c r="DO100" s="115"/>
      <c r="DP100" s="115"/>
      <c r="DQ100" s="115"/>
      <c r="DR100" s="115"/>
      <c r="DS100" s="115"/>
      <c r="DT100" s="115"/>
      <c r="DU100" s="115"/>
      <c r="DV100" s="115"/>
      <c r="DW100" s="115"/>
      <c r="DX100" s="115"/>
      <c r="DY100" s="115"/>
      <c r="DZ100" s="115"/>
      <c r="EA100" s="115"/>
      <c r="EB100" s="115"/>
      <c r="EC100" s="115"/>
      <c r="ED100" s="115"/>
      <c r="EE100" s="115"/>
      <c r="EF100" s="115"/>
      <c r="EG100" s="115"/>
      <c r="EH100" s="115"/>
      <c r="EI100" s="115"/>
      <c r="EJ100" s="115"/>
      <c r="EK100" s="115"/>
      <c r="EL100" s="115"/>
      <c r="EM100" s="115"/>
      <c r="EN100" s="115"/>
      <c r="EO100" s="115"/>
      <c r="EP100" s="115"/>
      <c r="EQ100" s="115"/>
      <c r="ER100" s="115"/>
      <c r="ES100" s="115"/>
      <c r="ET100" s="115"/>
      <c r="EU100" s="115"/>
      <c r="EV100" s="115"/>
      <c r="EW100" s="115"/>
      <c r="EX100" s="115"/>
      <c r="EY100" s="115"/>
      <c r="EZ100" s="115"/>
      <c r="FA100" s="115"/>
      <c r="FB100" s="115"/>
      <c r="FC100" s="115"/>
      <c r="FD100" s="115"/>
      <c r="FE100" s="115"/>
    </row>
    <row r="101" spans="1:161">
      <c r="A101" s="124" t="str">
        <f>CONCATENATE(Itemdata_2.3!Z3,Itemdata_2.3!AA3,Itemdata_2.3!AB3)</f>
        <v xml:space="preserve">   </v>
      </c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  <c r="CU101" s="124"/>
      <c r="CV101" s="124"/>
      <c r="CW101" s="124"/>
      <c r="CX101" s="124"/>
      <c r="CY101" s="124"/>
      <c r="CZ101" s="124"/>
      <c r="DA101" s="124"/>
      <c r="DB101" s="124"/>
      <c r="DC101" s="124"/>
      <c r="DD101" s="124"/>
      <c r="DE101" s="124"/>
      <c r="DF101" s="124"/>
      <c r="DG101" s="124"/>
      <c r="DH101" s="124"/>
      <c r="DI101" s="124"/>
      <c r="DJ101" s="124"/>
      <c r="DK101" s="124"/>
      <c r="DL101" s="124"/>
      <c r="DM101" s="124"/>
      <c r="DN101" s="124"/>
      <c r="DO101" s="124"/>
      <c r="DP101" s="124"/>
      <c r="DQ101" s="124"/>
      <c r="DR101" s="124"/>
      <c r="DS101" s="124"/>
      <c r="DT101" s="124"/>
      <c r="DU101" s="124"/>
      <c r="DV101" s="124"/>
      <c r="DW101" s="124"/>
      <c r="DX101" s="124"/>
      <c r="DY101" s="124"/>
      <c r="DZ101" s="124"/>
      <c r="EA101" s="124"/>
      <c r="EB101" s="124"/>
      <c r="EC101" s="124"/>
      <c r="ED101" s="124"/>
      <c r="EE101" s="124"/>
      <c r="EF101" s="124"/>
      <c r="EG101" s="124"/>
      <c r="EH101" s="124"/>
      <c r="EI101" s="124"/>
      <c r="EJ101" s="124"/>
      <c r="EK101" s="124"/>
      <c r="EL101" s="124"/>
      <c r="EM101" s="124"/>
      <c r="EN101" s="124"/>
      <c r="EO101" s="124"/>
      <c r="EP101" s="124"/>
      <c r="EQ101" s="124"/>
      <c r="ER101" s="124"/>
      <c r="ES101" s="124"/>
      <c r="ET101" s="124"/>
      <c r="EU101" s="124"/>
      <c r="EV101" s="124"/>
      <c r="EW101" s="124"/>
      <c r="EX101" s="124"/>
      <c r="EY101" s="124"/>
      <c r="EZ101" s="124"/>
      <c r="FA101" s="124"/>
      <c r="FB101" s="124"/>
      <c r="FC101" s="124"/>
      <c r="FD101" s="124"/>
      <c r="FE101" s="124"/>
    </row>
    <row r="102" spans="1:161">
      <c r="A102" s="1" t="s">
        <v>51</v>
      </c>
      <c r="AN102" s="113" t="str">
        <f>+Itemdata_2.3!M3</f>
        <v xml:space="preserve"> -</v>
      </c>
      <c r="AO102" s="113"/>
      <c r="AP102" s="113"/>
      <c r="AQ102" s="113"/>
      <c r="AR102" s="113"/>
      <c r="AS102" s="113"/>
      <c r="AT102" s="113"/>
      <c r="AU102" s="113"/>
      <c r="AV102" s="113"/>
      <c r="AW102" s="113"/>
      <c r="AX102" s="113"/>
      <c r="AY102" s="113"/>
      <c r="AZ102" s="113"/>
      <c r="BA102" s="113"/>
      <c r="BB102" s="113"/>
      <c r="BC102" s="113"/>
      <c r="BD102" s="113"/>
      <c r="BE102" s="113"/>
      <c r="BF102" s="113"/>
      <c r="BG102" s="113"/>
      <c r="BH102" s="113"/>
      <c r="BI102" s="113"/>
      <c r="BJ102" s="113"/>
      <c r="BK102" s="113"/>
      <c r="BL102" s="113"/>
      <c r="BM102" s="113"/>
      <c r="BN102" s="113"/>
      <c r="BO102" s="113"/>
      <c r="BP102" s="113"/>
      <c r="BQ102" s="113"/>
      <c r="BR102" s="113"/>
      <c r="BS102" s="113"/>
      <c r="BT102" s="113"/>
      <c r="BU102" s="113"/>
      <c r="BV102" s="113"/>
      <c r="BW102" s="113"/>
      <c r="BX102" s="113"/>
      <c r="BY102" s="113"/>
      <c r="BZ102" s="113"/>
      <c r="CA102" s="113"/>
      <c r="CB102" s="113"/>
      <c r="CC102" s="113"/>
      <c r="CD102" s="113"/>
      <c r="CE102" s="113"/>
      <c r="CF102" s="113"/>
      <c r="CG102" s="113"/>
      <c r="CH102" s="113"/>
      <c r="CI102" s="113"/>
      <c r="CJ102" s="113"/>
      <c r="CK102" s="113"/>
      <c r="CL102" s="113"/>
      <c r="CM102" s="113"/>
      <c r="CN102" s="113"/>
      <c r="CO102" s="113"/>
      <c r="CP102" s="113"/>
      <c r="CQ102" s="113"/>
      <c r="CR102" s="113"/>
      <c r="CS102" s="113"/>
      <c r="CT102" s="113"/>
      <c r="CU102" s="113"/>
      <c r="CV102" s="113"/>
      <c r="CW102" s="113"/>
      <c r="CX102" s="113"/>
      <c r="CY102" s="113"/>
      <c r="CZ102" s="113"/>
      <c r="DA102" s="113"/>
      <c r="DB102" s="113"/>
      <c r="DC102" s="113"/>
      <c r="DD102" s="113"/>
      <c r="DE102" s="113"/>
    </row>
    <row r="103" spans="1:161">
      <c r="A103" s="1" t="s">
        <v>52</v>
      </c>
      <c r="AC103" s="114" t="str">
        <f>+Itemdata_3.1!B9</f>
        <v xml:space="preserve"> </v>
      </c>
      <c r="AD103" s="115"/>
      <c r="AE103" s="115"/>
      <c r="AF103" s="115"/>
      <c r="AG103" s="115"/>
      <c r="AH103" s="115"/>
      <c r="AI103" s="115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115"/>
      <c r="AT103" s="115"/>
      <c r="AU103" s="115"/>
      <c r="AV103" s="115"/>
      <c r="AW103" s="115"/>
      <c r="AX103" s="115"/>
      <c r="AY103" s="115"/>
      <c r="AZ103" s="115"/>
      <c r="BA103" s="115"/>
      <c r="BB103" s="115"/>
      <c r="BC103" s="115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CD103" s="114" t="str">
        <f>+Itemdata_3.1!B10</f>
        <v xml:space="preserve"> </v>
      </c>
      <c r="CE103" s="115"/>
      <c r="CF103" s="115"/>
      <c r="CG103" s="115"/>
      <c r="CH103" s="115"/>
      <c r="CI103" s="115"/>
      <c r="CJ103" s="115"/>
      <c r="CK103" s="115"/>
      <c r="CL103" s="115"/>
      <c r="CM103" s="115"/>
      <c r="CN103" s="115"/>
      <c r="CO103" s="115"/>
      <c r="CP103" s="115"/>
      <c r="CQ103" s="115"/>
      <c r="CR103" s="115"/>
      <c r="CS103" s="115"/>
      <c r="CT103" s="115"/>
      <c r="CU103" s="115"/>
      <c r="CV103" s="115"/>
      <c r="CW103" s="115"/>
      <c r="CX103" s="115"/>
      <c r="CY103" s="115"/>
      <c r="CZ103" s="115"/>
      <c r="DA103" s="115"/>
      <c r="DB103" s="115"/>
      <c r="DC103" s="115"/>
      <c r="DD103" s="115"/>
      <c r="DE103" s="115"/>
    </row>
    <row r="104" spans="1:161" s="3" customFormat="1" ht="10.5">
      <c r="AC104" s="116" t="s">
        <v>2</v>
      </c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6"/>
      <c r="AU104" s="116"/>
      <c r="AV104" s="116"/>
      <c r="AW104" s="116"/>
      <c r="AX104" s="116"/>
      <c r="AY104" s="116"/>
      <c r="AZ104" s="116"/>
      <c r="BA104" s="116"/>
      <c r="BB104" s="116"/>
      <c r="BC104" s="116"/>
      <c r="BH104" s="116" t="s">
        <v>3</v>
      </c>
      <c r="BI104" s="116"/>
      <c r="BJ104" s="116"/>
      <c r="BK104" s="116"/>
      <c r="BL104" s="116"/>
      <c r="BM104" s="116"/>
      <c r="BN104" s="116"/>
      <c r="BO104" s="116"/>
      <c r="BP104" s="116"/>
      <c r="BQ104" s="116"/>
      <c r="BR104" s="116"/>
      <c r="BS104" s="116"/>
      <c r="BT104" s="116"/>
      <c r="BU104" s="116"/>
      <c r="BV104" s="116"/>
      <c r="BW104" s="116"/>
      <c r="BX104" s="116"/>
      <c r="BY104" s="116"/>
      <c r="CD104" s="116" t="s">
        <v>4</v>
      </c>
      <c r="CE104" s="116"/>
      <c r="CF104" s="116"/>
      <c r="CG104" s="116"/>
      <c r="CH104" s="116"/>
      <c r="CI104" s="116"/>
      <c r="CJ104" s="116"/>
      <c r="CK104" s="116"/>
      <c r="CL104" s="116"/>
      <c r="CM104" s="116"/>
      <c r="CN104" s="116"/>
      <c r="CO104" s="116"/>
      <c r="CP104" s="116"/>
      <c r="CQ104" s="116"/>
      <c r="CR104" s="116"/>
      <c r="CS104" s="116"/>
      <c r="CT104" s="116"/>
      <c r="CU104" s="116"/>
      <c r="CV104" s="116"/>
      <c r="CW104" s="116"/>
      <c r="CX104" s="116"/>
      <c r="CY104" s="116"/>
      <c r="CZ104" s="116"/>
      <c r="DA104" s="116"/>
      <c r="DB104" s="116"/>
      <c r="DC104" s="116"/>
      <c r="DD104" s="116"/>
      <c r="DE104" s="116"/>
    </row>
    <row r="105" spans="1:161">
      <c r="A105" s="1" t="s">
        <v>53</v>
      </c>
      <c r="AC105" s="114" t="str">
        <f>+Itemdata_3.1!B11</f>
        <v xml:space="preserve"> </v>
      </c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115"/>
      <c r="AU105" s="115"/>
      <c r="AV105" s="115"/>
      <c r="AW105" s="115"/>
      <c r="AX105" s="115"/>
      <c r="AY105" s="115"/>
      <c r="AZ105" s="115"/>
      <c r="BA105" s="115"/>
      <c r="BB105" s="115"/>
      <c r="BC105" s="115"/>
      <c r="BH105" s="124"/>
      <c r="BI105" s="124"/>
      <c r="BJ105" s="124"/>
      <c r="BK105" s="124"/>
      <c r="BL105" s="124"/>
      <c r="BM105" s="124"/>
      <c r="BN105" s="124"/>
      <c r="BO105" s="124"/>
      <c r="BP105" s="124"/>
      <c r="BQ105" s="124"/>
      <c r="BR105" s="124"/>
      <c r="BS105" s="124"/>
      <c r="BT105" s="124"/>
      <c r="BU105" s="124"/>
      <c r="BV105" s="124"/>
      <c r="BW105" s="124"/>
      <c r="BX105" s="124"/>
      <c r="BY105" s="124"/>
      <c r="CD105" s="114" t="str">
        <f>+Itemdata_3.1!B12</f>
        <v xml:space="preserve"> </v>
      </c>
      <c r="CE105" s="115"/>
      <c r="CF105" s="115"/>
      <c r="CG105" s="115"/>
      <c r="CH105" s="115"/>
      <c r="CI105" s="115"/>
      <c r="CJ105" s="115"/>
      <c r="CK105" s="115"/>
      <c r="CL105" s="115"/>
      <c r="CM105" s="115"/>
      <c r="CN105" s="115"/>
      <c r="CO105" s="115"/>
      <c r="CP105" s="115"/>
      <c r="CQ105" s="115"/>
      <c r="CR105" s="115"/>
      <c r="CS105" s="115"/>
      <c r="CT105" s="115"/>
      <c r="CU105" s="115"/>
      <c r="CV105" s="115"/>
      <c r="CW105" s="115"/>
      <c r="CX105" s="115"/>
      <c r="CY105" s="115"/>
      <c r="CZ105" s="115"/>
      <c r="DA105" s="115"/>
      <c r="DB105" s="115"/>
      <c r="DC105" s="115"/>
      <c r="DD105" s="115"/>
      <c r="DE105" s="115"/>
    </row>
    <row r="106" spans="1:161" s="3" customFormat="1" ht="10.5">
      <c r="AC106" s="116" t="s">
        <v>2</v>
      </c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  <c r="AT106" s="116"/>
      <c r="AU106" s="116"/>
      <c r="AV106" s="116"/>
      <c r="AW106" s="116"/>
      <c r="AX106" s="116"/>
      <c r="AY106" s="116"/>
      <c r="AZ106" s="116"/>
      <c r="BA106" s="116"/>
      <c r="BB106" s="116"/>
      <c r="BC106" s="116"/>
      <c r="BH106" s="116" t="s">
        <v>3</v>
      </c>
      <c r="BI106" s="116"/>
      <c r="BJ106" s="116"/>
      <c r="BK106" s="116"/>
      <c r="BL106" s="116"/>
      <c r="BM106" s="116"/>
      <c r="BN106" s="116"/>
      <c r="BO106" s="116"/>
      <c r="BP106" s="116"/>
      <c r="BQ106" s="116"/>
      <c r="BR106" s="116"/>
      <c r="BS106" s="116"/>
      <c r="BT106" s="116"/>
      <c r="BU106" s="116"/>
      <c r="BV106" s="116"/>
      <c r="BW106" s="116"/>
      <c r="BX106" s="116"/>
      <c r="BY106" s="116"/>
      <c r="CD106" s="116" t="s">
        <v>4</v>
      </c>
      <c r="CE106" s="116"/>
      <c r="CF106" s="116"/>
      <c r="CG106" s="116"/>
      <c r="CH106" s="116"/>
      <c r="CI106" s="116"/>
      <c r="CJ106" s="116"/>
      <c r="CK106" s="116"/>
      <c r="CL106" s="116"/>
      <c r="CM106" s="116"/>
      <c r="CN106" s="116"/>
      <c r="CO106" s="116"/>
      <c r="CP106" s="116"/>
      <c r="CQ106" s="116"/>
      <c r="CR106" s="116"/>
      <c r="CS106" s="116"/>
      <c r="CT106" s="116"/>
      <c r="CU106" s="116"/>
      <c r="CV106" s="116"/>
      <c r="CW106" s="116"/>
      <c r="CX106" s="116"/>
      <c r="CY106" s="116"/>
      <c r="CZ106" s="116"/>
      <c r="DA106" s="116"/>
      <c r="DB106" s="116"/>
      <c r="DC106" s="116"/>
      <c r="DD106" s="116"/>
      <c r="DE106" s="116"/>
    </row>
    <row r="107" spans="1:161">
      <c r="AC107" s="114" t="str">
        <f>+Itemdata_3.1!B13</f>
        <v xml:space="preserve"> </v>
      </c>
      <c r="AD107" s="115"/>
      <c r="AE107" s="115"/>
      <c r="AF107" s="115"/>
      <c r="AG107" s="115"/>
      <c r="AH107" s="115"/>
      <c r="AI107" s="115"/>
      <c r="AJ107" s="115"/>
      <c r="AK107" s="115"/>
      <c r="AL107" s="115"/>
      <c r="AM107" s="115"/>
      <c r="AN107" s="115"/>
      <c r="AO107" s="115"/>
      <c r="AP107" s="115"/>
      <c r="AQ107" s="115"/>
      <c r="AR107" s="115"/>
      <c r="AS107" s="115"/>
      <c r="AT107" s="115"/>
      <c r="AU107" s="115"/>
      <c r="AV107" s="115"/>
      <c r="AW107" s="115"/>
      <c r="AX107" s="115"/>
      <c r="AY107" s="115"/>
      <c r="AZ107" s="115"/>
      <c r="BA107" s="115"/>
      <c r="BB107" s="115"/>
      <c r="BC107" s="115"/>
      <c r="BH107" s="124"/>
      <c r="BI107" s="124"/>
      <c r="BJ107" s="124"/>
      <c r="BK107" s="124"/>
      <c r="BL107" s="124"/>
      <c r="BM107" s="124"/>
      <c r="BN107" s="124"/>
      <c r="BO107" s="124"/>
      <c r="BP107" s="124"/>
      <c r="BQ107" s="124"/>
      <c r="BR107" s="124"/>
      <c r="BS107" s="124"/>
      <c r="BT107" s="124"/>
      <c r="BU107" s="124"/>
      <c r="BV107" s="124"/>
      <c r="BW107" s="124"/>
      <c r="BX107" s="124"/>
      <c r="BY107" s="124"/>
      <c r="CD107" s="114" t="str">
        <f>+Itemdata_3.1!B14</f>
        <v xml:space="preserve"> </v>
      </c>
      <c r="CE107" s="115"/>
      <c r="CF107" s="115"/>
      <c r="CG107" s="115"/>
      <c r="CH107" s="115"/>
      <c r="CI107" s="115"/>
      <c r="CJ107" s="115"/>
      <c r="CK107" s="115"/>
      <c r="CL107" s="115"/>
      <c r="CM107" s="115"/>
      <c r="CN107" s="115"/>
      <c r="CO107" s="115"/>
      <c r="CP107" s="115"/>
      <c r="CQ107" s="115"/>
      <c r="CR107" s="115"/>
      <c r="CS107" s="115"/>
      <c r="CT107" s="115"/>
      <c r="CU107" s="115"/>
      <c r="CV107" s="115"/>
      <c r="CW107" s="115"/>
      <c r="CX107" s="115"/>
      <c r="CY107" s="115"/>
      <c r="CZ107" s="115"/>
      <c r="DA107" s="115"/>
      <c r="DB107" s="115"/>
      <c r="DC107" s="115"/>
      <c r="DD107" s="115"/>
      <c r="DE107" s="115"/>
    </row>
    <row r="108" spans="1:161" s="3" customFormat="1" ht="9.75" customHeight="1">
      <c r="AC108" s="116" t="s">
        <v>2</v>
      </c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  <c r="AT108" s="116"/>
      <c r="AU108" s="116"/>
      <c r="AV108" s="116"/>
      <c r="AW108" s="116"/>
      <c r="AX108" s="116"/>
      <c r="AY108" s="116"/>
      <c r="AZ108" s="116"/>
      <c r="BA108" s="116"/>
      <c r="BB108" s="116"/>
      <c r="BC108" s="116"/>
      <c r="BH108" s="116" t="s">
        <v>3</v>
      </c>
      <c r="BI108" s="116"/>
      <c r="BJ108" s="116"/>
      <c r="BK108" s="116"/>
      <c r="BL108" s="116"/>
      <c r="BM108" s="116"/>
      <c r="BN108" s="116"/>
      <c r="BO108" s="116"/>
      <c r="BP108" s="116"/>
      <c r="BQ108" s="116"/>
      <c r="BR108" s="116"/>
      <c r="BS108" s="116"/>
      <c r="BT108" s="116"/>
      <c r="BU108" s="116"/>
      <c r="BV108" s="116"/>
      <c r="BW108" s="116"/>
      <c r="BX108" s="116"/>
      <c r="BY108" s="116"/>
      <c r="CD108" s="116" t="s">
        <v>4</v>
      </c>
      <c r="CE108" s="116"/>
      <c r="CF108" s="116"/>
      <c r="CG108" s="116"/>
      <c r="CH108" s="116"/>
      <c r="CI108" s="116"/>
      <c r="CJ108" s="116"/>
      <c r="CK108" s="116"/>
      <c r="CL108" s="116"/>
      <c r="CM108" s="116"/>
      <c r="CN108" s="116"/>
      <c r="CO108" s="116"/>
      <c r="CP108" s="116"/>
      <c r="CQ108" s="116"/>
      <c r="CR108" s="116"/>
      <c r="CS108" s="116"/>
      <c r="CT108" s="116"/>
      <c r="CU108" s="116"/>
      <c r="CV108" s="116"/>
      <c r="CW108" s="116"/>
      <c r="CX108" s="116"/>
      <c r="CY108" s="116"/>
      <c r="CZ108" s="116"/>
      <c r="DA108" s="116"/>
      <c r="DB108" s="116"/>
      <c r="DC108" s="116"/>
      <c r="DD108" s="116"/>
      <c r="DE108" s="116"/>
    </row>
    <row r="109" spans="1:161" s="3" customFormat="1" ht="11.25" customHeight="1">
      <c r="AC109" s="114" t="str">
        <f>+Itemdata_3.1!B41</f>
        <v xml:space="preserve"> </v>
      </c>
      <c r="AD109" s="115"/>
      <c r="AE109" s="115"/>
      <c r="AF109" s="115"/>
      <c r="AG109" s="115"/>
      <c r="AH109" s="115"/>
      <c r="AI109" s="115"/>
      <c r="AJ109" s="115"/>
      <c r="AK109" s="115"/>
      <c r="AL109" s="115"/>
      <c r="AM109" s="115"/>
      <c r="AN109" s="115"/>
      <c r="AO109" s="115"/>
      <c r="AP109" s="115"/>
      <c r="AQ109" s="115"/>
      <c r="AR109" s="115"/>
      <c r="AS109" s="115"/>
      <c r="AT109" s="115"/>
      <c r="AU109" s="115"/>
      <c r="AV109" s="115"/>
      <c r="AW109" s="115"/>
      <c r="AX109" s="115"/>
      <c r="AY109" s="115"/>
      <c r="AZ109" s="115"/>
      <c r="BA109" s="115"/>
      <c r="BB109" s="115"/>
      <c r="BC109" s="115"/>
      <c r="BD109" s="1"/>
      <c r="BE109" s="1"/>
      <c r="BF109" s="1"/>
      <c r="BG109" s="1"/>
      <c r="BH109" s="124"/>
      <c r="BI109" s="124"/>
      <c r="BJ109" s="124"/>
      <c r="BK109" s="124"/>
      <c r="BL109" s="124"/>
      <c r="BM109" s="124"/>
      <c r="BN109" s="124"/>
      <c r="BO109" s="124"/>
      <c r="BP109" s="124"/>
      <c r="BQ109" s="124"/>
      <c r="BR109" s="124"/>
      <c r="BS109" s="124"/>
      <c r="BT109" s="124"/>
      <c r="BU109" s="124"/>
      <c r="BV109" s="124"/>
      <c r="BW109" s="124"/>
      <c r="BX109" s="124"/>
      <c r="BY109" s="124"/>
      <c r="BZ109" s="1"/>
      <c r="CA109" s="1"/>
      <c r="CB109" s="1"/>
      <c r="CC109" s="1"/>
      <c r="CD109" s="114" t="str">
        <f>+Itemdata_3.1!B42</f>
        <v xml:space="preserve"> </v>
      </c>
      <c r="CE109" s="115"/>
      <c r="CF109" s="115"/>
      <c r="CG109" s="115"/>
      <c r="CH109" s="115"/>
      <c r="CI109" s="115"/>
      <c r="CJ109" s="115"/>
      <c r="CK109" s="115"/>
      <c r="CL109" s="115"/>
      <c r="CM109" s="115"/>
      <c r="CN109" s="115"/>
      <c r="CO109" s="115"/>
      <c r="CP109" s="115"/>
      <c r="CQ109" s="115"/>
      <c r="CR109" s="115"/>
      <c r="CS109" s="115"/>
      <c r="CT109" s="115"/>
      <c r="CU109" s="115"/>
      <c r="CV109" s="115"/>
      <c r="CW109" s="115"/>
      <c r="CX109" s="115"/>
      <c r="CY109" s="115"/>
      <c r="CZ109" s="115"/>
      <c r="DA109" s="115"/>
      <c r="DB109" s="115"/>
      <c r="DC109" s="115"/>
      <c r="DD109" s="115"/>
      <c r="DE109" s="115"/>
    </row>
    <row r="110" spans="1:161" s="3" customFormat="1" ht="10.5">
      <c r="AC110" s="116" t="s">
        <v>2</v>
      </c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6"/>
      <c r="AU110" s="116"/>
      <c r="AV110" s="116"/>
      <c r="AW110" s="116"/>
      <c r="AX110" s="116"/>
      <c r="AY110" s="116"/>
      <c r="AZ110" s="116"/>
      <c r="BA110" s="116"/>
      <c r="BB110" s="116"/>
      <c r="BC110" s="116"/>
      <c r="BH110" s="116" t="s">
        <v>3</v>
      </c>
      <c r="BI110" s="116"/>
      <c r="BJ110" s="116"/>
      <c r="BK110" s="116"/>
      <c r="BL110" s="116"/>
      <c r="BM110" s="116"/>
      <c r="BN110" s="116"/>
      <c r="BO110" s="116"/>
      <c r="BP110" s="116"/>
      <c r="BQ110" s="116"/>
      <c r="BR110" s="116"/>
      <c r="BS110" s="116"/>
      <c r="BT110" s="116"/>
      <c r="BU110" s="116"/>
      <c r="BV110" s="116"/>
      <c r="BW110" s="116"/>
      <c r="BX110" s="116"/>
      <c r="BY110" s="116"/>
      <c r="CD110" s="116" t="s">
        <v>4</v>
      </c>
      <c r="CE110" s="116"/>
      <c r="CF110" s="116"/>
      <c r="CG110" s="116"/>
      <c r="CH110" s="116"/>
      <c r="CI110" s="116"/>
      <c r="CJ110" s="116"/>
      <c r="CK110" s="116"/>
      <c r="CL110" s="116"/>
      <c r="CM110" s="116"/>
      <c r="CN110" s="116"/>
      <c r="CO110" s="116"/>
      <c r="CP110" s="116"/>
      <c r="CQ110" s="116"/>
      <c r="CR110" s="116"/>
      <c r="CS110" s="116"/>
      <c r="CT110" s="116"/>
      <c r="CU110" s="116"/>
      <c r="CV110" s="116"/>
      <c r="CW110" s="116"/>
      <c r="CX110" s="116"/>
      <c r="CY110" s="116"/>
      <c r="CZ110" s="116"/>
      <c r="DA110" s="116"/>
      <c r="DB110" s="116"/>
      <c r="DC110" s="116"/>
      <c r="DD110" s="116"/>
      <c r="DE110" s="116"/>
    </row>
    <row r="111" spans="1:161" s="3" customFormat="1">
      <c r="AC111" s="114" t="str">
        <f>+Itemdata_3.1!B43</f>
        <v xml:space="preserve"> </v>
      </c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115"/>
      <c r="AN111" s="115"/>
      <c r="AO111" s="115"/>
      <c r="AP111" s="115"/>
      <c r="AQ111" s="115"/>
      <c r="AR111" s="115"/>
      <c r="AS111" s="115"/>
      <c r="AT111" s="115"/>
      <c r="AU111" s="115"/>
      <c r="AV111" s="115"/>
      <c r="AW111" s="115"/>
      <c r="AX111" s="115"/>
      <c r="AY111" s="115"/>
      <c r="AZ111" s="115"/>
      <c r="BA111" s="115"/>
      <c r="BB111" s="115"/>
      <c r="BC111" s="115"/>
      <c r="BD111" s="1"/>
      <c r="BE111" s="1"/>
      <c r="BF111" s="1"/>
      <c r="BG111" s="1"/>
      <c r="BH111" s="124"/>
      <c r="BI111" s="124"/>
      <c r="BJ111" s="124"/>
      <c r="BK111" s="124"/>
      <c r="BL111" s="124"/>
      <c r="BM111" s="124"/>
      <c r="BN111" s="124"/>
      <c r="BO111" s="124"/>
      <c r="BP111" s="124"/>
      <c r="BQ111" s="124"/>
      <c r="BR111" s="124"/>
      <c r="BS111" s="124"/>
      <c r="BT111" s="124"/>
      <c r="BU111" s="124"/>
      <c r="BV111" s="124"/>
      <c r="BW111" s="124"/>
      <c r="BX111" s="124"/>
      <c r="BY111" s="124"/>
      <c r="BZ111" s="1"/>
      <c r="CA111" s="1"/>
      <c r="CB111" s="1"/>
      <c r="CC111" s="1"/>
      <c r="CD111" s="114" t="str">
        <f>+Itemdata_3.1!B44</f>
        <v xml:space="preserve"> </v>
      </c>
      <c r="CE111" s="115"/>
      <c r="CF111" s="115"/>
      <c r="CG111" s="115"/>
      <c r="CH111" s="115"/>
      <c r="CI111" s="115"/>
      <c r="CJ111" s="115"/>
      <c r="CK111" s="115"/>
      <c r="CL111" s="115"/>
      <c r="CM111" s="115"/>
      <c r="CN111" s="115"/>
      <c r="CO111" s="115"/>
      <c r="CP111" s="115"/>
      <c r="CQ111" s="115"/>
      <c r="CR111" s="115"/>
      <c r="CS111" s="115"/>
      <c r="CT111" s="115"/>
      <c r="CU111" s="115"/>
      <c r="CV111" s="115"/>
      <c r="CW111" s="115"/>
      <c r="CX111" s="115"/>
      <c r="CY111" s="115"/>
      <c r="CZ111" s="115"/>
      <c r="DA111" s="115"/>
      <c r="DB111" s="115"/>
      <c r="DC111" s="115"/>
      <c r="DD111" s="115"/>
      <c r="DE111" s="115"/>
    </row>
    <row r="112" spans="1:161" s="3" customFormat="1" ht="10.5">
      <c r="AC112" s="116" t="s">
        <v>2</v>
      </c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  <c r="AT112" s="116"/>
      <c r="AU112" s="116"/>
      <c r="AV112" s="116"/>
      <c r="AW112" s="116"/>
      <c r="AX112" s="116"/>
      <c r="AY112" s="116"/>
      <c r="AZ112" s="116"/>
      <c r="BA112" s="116"/>
      <c r="BB112" s="116"/>
      <c r="BC112" s="116"/>
      <c r="BH112" s="116" t="s">
        <v>3</v>
      </c>
      <c r="BI112" s="116"/>
      <c r="BJ112" s="116"/>
      <c r="BK112" s="116"/>
      <c r="BL112" s="116"/>
      <c r="BM112" s="116"/>
      <c r="BN112" s="116"/>
      <c r="BO112" s="116"/>
      <c r="BP112" s="116"/>
      <c r="BQ112" s="116"/>
      <c r="BR112" s="116"/>
      <c r="BS112" s="116"/>
      <c r="BT112" s="116"/>
      <c r="BU112" s="116"/>
      <c r="BV112" s="116"/>
      <c r="BW112" s="116"/>
      <c r="BX112" s="116"/>
      <c r="BY112" s="116"/>
      <c r="CD112" s="116" t="s">
        <v>4</v>
      </c>
      <c r="CE112" s="116"/>
      <c r="CF112" s="116"/>
      <c r="CG112" s="116"/>
      <c r="CH112" s="116"/>
      <c r="CI112" s="116"/>
      <c r="CJ112" s="116"/>
      <c r="CK112" s="116"/>
      <c r="CL112" s="116"/>
      <c r="CM112" s="116"/>
      <c r="CN112" s="116"/>
      <c r="CO112" s="116"/>
      <c r="CP112" s="116"/>
      <c r="CQ112" s="116"/>
      <c r="CR112" s="116"/>
      <c r="CS112" s="116"/>
      <c r="CT112" s="116"/>
      <c r="CU112" s="116"/>
      <c r="CV112" s="116"/>
      <c r="CW112" s="116"/>
      <c r="CX112" s="116"/>
      <c r="CY112" s="116"/>
      <c r="CZ112" s="116"/>
      <c r="DA112" s="116"/>
      <c r="DB112" s="116"/>
      <c r="DC112" s="116"/>
      <c r="DD112" s="116"/>
      <c r="DE112" s="116"/>
    </row>
    <row r="113" spans="1:161" s="3" customFormat="1">
      <c r="AC113" s="114" t="str">
        <f>+Itemdata_3.1!B45</f>
        <v xml:space="preserve"> </v>
      </c>
      <c r="AD113" s="115"/>
      <c r="AE113" s="115"/>
      <c r="AF113" s="115"/>
      <c r="AG113" s="115"/>
      <c r="AH113" s="115"/>
      <c r="AI113" s="115"/>
      <c r="AJ113" s="115"/>
      <c r="AK113" s="115"/>
      <c r="AL113" s="115"/>
      <c r="AM113" s="115"/>
      <c r="AN113" s="115"/>
      <c r="AO113" s="115"/>
      <c r="AP113" s="115"/>
      <c r="AQ113" s="115"/>
      <c r="AR113" s="115"/>
      <c r="AS113" s="115"/>
      <c r="AT113" s="115"/>
      <c r="AU113" s="115"/>
      <c r="AV113" s="115"/>
      <c r="AW113" s="115"/>
      <c r="AX113" s="115"/>
      <c r="AY113" s="115"/>
      <c r="AZ113" s="115"/>
      <c r="BA113" s="115"/>
      <c r="BB113" s="115"/>
      <c r="BC113" s="115"/>
      <c r="BD113" s="1"/>
      <c r="BE113" s="1"/>
      <c r="BF113" s="1"/>
      <c r="BG113" s="1"/>
      <c r="BH113" s="124"/>
      <c r="BI113" s="124"/>
      <c r="BJ113" s="124"/>
      <c r="BK113" s="124"/>
      <c r="BL113" s="124"/>
      <c r="BM113" s="124"/>
      <c r="BN113" s="124"/>
      <c r="BO113" s="124"/>
      <c r="BP113" s="124"/>
      <c r="BQ113" s="124"/>
      <c r="BR113" s="124"/>
      <c r="BS113" s="124"/>
      <c r="BT113" s="124"/>
      <c r="BU113" s="124"/>
      <c r="BV113" s="124"/>
      <c r="BW113" s="124"/>
      <c r="BX113" s="124"/>
      <c r="BY113" s="124"/>
      <c r="BZ113" s="1"/>
      <c r="CA113" s="1"/>
      <c r="CB113" s="1"/>
      <c r="CC113" s="1"/>
      <c r="CD113" s="114" t="str">
        <f>+Itemdata_3.1!B46</f>
        <v xml:space="preserve"> </v>
      </c>
      <c r="CE113" s="115"/>
      <c r="CF113" s="115"/>
      <c r="CG113" s="115"/>
      <c r="CH113" s="115"/>
      <c r="CI113" s="115"/>
      <c r="CJ113" s="115"/>
      <c r="CK113" s="115"/>
      <c r="CL113" s="115"/>
      <c r="CM113" s="115"/>
      <c r="CN113" s="115"/>
      <c r="CO113" s="115"/>
      <c r="CP113" s="115"/>
      <c r="CQ113" s="115"/>
      <c r="CR113" s="115"/>
      <c r="CS113" s="115"/>
      <c r="CT113" s="115"/>
      <c r="CU113" s="115"/>
      <c r="CV113" s="115"/>
      <c r="CW113" s="115"/>
      <c r="CX113" s="115"/>
      <c r="CY113" s="115"/>
      <c r="CZ113" s="115"/>
      <c r="DA113" s="115"/>
      <c r="DB113" s="115"/>
      <c r="DC113" s="115"/>
      <c r="DD113" s="115"/>
      <c r="DE113" s="115"/>
    </row>
    <row r="114" spans="1:161" s="3" customFormat="1" ht="10.5">
      <c r="AC114" s="116" t="s">
        <v>2</v>
      </c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6"/>
      <c r="AT114" s="116"/>
      <c r="AU114" s="116"/>
      <c r="AV114" s="116"/>
      <c r="AW114" s="116"/>
      <c r="AX114" s="116"/>
      <c r="AY114" s="116"/>
      <c r="AZ114" s="116"/>
      <c r="BA114" s="116"/>
      <c r="BB114" s="116"/>
      <c r="BC114" s="116"/>
      <c r="BH114" s="116" t="s">
        <v>3</v>
      </c>
      <c r="BI114" s="116"/>
      <c r="BJ114" s="116"/>
      <c r="BK114" s="116"/>
      <c r="BL114" s="116"/>
      <c r="BM114" s="116"/>
      <c r="BN114" s="116"/>
      <c r="BO114" s="116"/>
      <c r="BP114" s="116"/>
      <c r="BQ114" s="116"/>
      <c r="BR114" s="116"/>
      <c r="BS114" s="116"/>
      <c r="BT114" s="116"/>
      <c r="BU114" s="116"/>
      <c r="BV114" s="116"/>
      <c r="BW114" s="116"/>
      <c r="BX114" s="116"/>
      <c r="BY114" s="116"/>
      <c r="CD114" s="116" t="s">
        <v>4</v>
      </c>
      <c r="CE114" s="116"/>
      <c r="CF114" s="116"/>
      <c r="CG114" s="116"/>
      <c r="CH114" s="116"/>
      <c r="CI114" s="116"/>
      <c r="CJ114" s="116"/>
      <c r="CK114" s="116"/>
      <c r="CL114" s="116"/>
      <c r="CM114" s="116"/>
      <c r="CN114" s="116"/>
      <c r="CO114" s="116"/>
      <c r="CP114" s="116"/>
      <c r="CQ114" s="116"/>
      <c r="CR114" s="116"/>
      <c r="CS114" s="116"/>
      <c r="CT114" s="116"/>
      <c r="CU114" s="116"/>
      <c r="CV114" s="116"/>
      <c r="CW114" s="116"/>
      <c r="CX114" s="116"/>
      <c r="CY114" s="116"/>
      <c r="CZ114" s="116"/>
      <c r="DA114" s="116"/>
      <c r="DB114" s="116"/>
      <c r="DC114" s="116"/>
      <c r="DD114" s="116"/>
      <c r="DE114" s="116"/>
    </row>
    <row r="115" spans="1:161" s="3" customFormat="1">
      <c r="AC115" s="114" t="str">
        <f>+Itemdata_3.1!B47</f>
        <v xml:space="preserve"> </v>
      </c>
      <c r="AD115" s="115"/>
      <c r="AE115" s="115"/>
      <c r="AF115" s="115"/>
      <c r="AG115" s="115"/>
      <c r="AH115" s="115"/>
      <c r="AI115" s="115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115"/>
      <c r="AT115" s="115"/>
      <c r="AU115" s="115"/>
      <c r="AV115" s="115"/>
      <c r="AW115" s="115"/>
      <c r="AX115" s="115"/>
      <c r="AY115" s="115"/>
      <c r="AZ115" s="115"/>
      <c r="BA115" s="115"/>
      <c r="BB115" s="115"/>
      <c r="BC115" s="115"/>
      <c r="BD115" s="1"/>
      <c r="BE115" s="1"/>
      <c r="BF115" s="1"/>
      <c r="BG115" s="1"/>
      <c r="BH115" s="124"/>
      <c r="BI115" s="124"/>
      <c r="BJ115" s="124"/>
      <c r="BK115" s="124"/>
      <c r="BL115" s="124"/>
      <c r="BM115" s="124"/>
      <c r="BN115" s="124"/>
      <c r="BO115" s="124"/>
      <c r="BP115" s="124"/>
      <c r="BQ115" s="124"/>
      <c r="BR115" s="124"/>
      <c r="BS115" s="124"/>
      <c r="BT115" s="124"/>
      <c r="BU115" s="124"/>
      <c r="BV115" s="124"/>
      <c r="BW115" s="124"/>
      <c r="BX115" s="124"/>
      <c r="BY115" s="124"/>
      <c r="BZ115" s="1"/>
      <c r="CA115" s="1"/>
      <c r="CB115" s="1"/>
      <c r="CC115" s="1"/>
      <c r="CD115" s="114" t="str">
        <f>+Itemdata_3.1!B48</f>
        <v xml:space="preserve"> </v>
      </c>
      <c r="CE115" s="115"/>
      <c r="CF115" s="115"/>
      <c r="CG115" s="115"/>
      <c r="CH115" s="115"/>
      <c r="CI115" s="115"/>
      <c r="CJ115" s="115"/>
      <c r="CK115" s="115"/>
      <c r="CL115" s="115"/>
      <c r="CM115" s="115"/>
      <c r="CN115" s="115"/>
      <c r="CO115" s="115"/>
      <c r="CP115" s="115"/>
      <c r="CQ115" s="115"/>
      <c r="CR115" s="115"/>
      <c r="CS115" s="115"/>
      <c r="CT115" s="115"/>
      <c r="CU115" s="115"/>
      <c r="CV115" s="115"/>
      <c r="CW115" s="115"/>
      <c r="CX115" s="115"/>
      <c r="CY115" s="115"/>
      <c r="CZ115" s="115"/>
      <c r="DA115" s="115"/>
      <c r="DB115" s="115"/>
      <c r="DC115" s="115"/>
      <c r="DD115" s="115"/>
      <c r="DE115" s="115"/>
    </row>
    <row r="116" spans="1:161" ht="9" customHeight="1">
      <c r="AC116" s="116" t="s">
        <v>2</v>
      </c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3"/>
      <c r="BE116" s="3"/>
      <c r="BF116" s="3"/>
      <c r="BG116" s="3"/>
      <c r="BH116" s="116" t="s">
        <v>3</v>
      </c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3"/>
      <c r="CA116" s="3"/>
      <c r="CB116" s="3"/>
      <c r="CC116" s="3"/>
      <c r="CD116" s="116" t="s">
        <v>4</v>
      </c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</row>
    <row r="117" spans="1:161" ht="2.1" customHeight="1"/>
    <row r="118" spans="1:161">
      <c r="A118" s="2" t="s">
        <v>54</v>
      </c>
    </row>
    <row r="119" spans="1:161" hidden="1"/>
    <row r="120" spans="1:161">
      <c r="A120" s="8" t="s">
        <v>55</v>
      </c>
      <c r="B120" s="8"/>
      <c r="C120" s="8"/>
      <c r="D120" s="8"/>
      <c r="E120" s="8"/>
      <c r="F120" s="8"/>
      <c r="G120" s="8"/>
      <c r="H120" s="8"/>
      <c r="I120" s="8"/>
      <c r="J120" s="8"/>
      <c r="CB120" s="9"/>
      <c r="CD120" s="1" t="s">
        <v>56</v>
      </c>
    </row>
    <row r="121" spans="1:161" ht="13.5">
      <c r="B121" s="122" t="str">
        <f>+Itemdata_3.1!B22</f>
        <v xml:space="preserve"> </v>
      </c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87"/>
      <c r="AE121" s="87"/>
      <c r="AF121" s="115"/>
      <c r="AG121" s="134"/>
      <c r="AH121" s="134"/>
      <c r="AI121" s="134"/>
      <c r="AJ121" s="134"/>
      <c r="AK121" s="134"/>
      <c r="AL121" s="134"/>
      <c r="AM121" s="134"/>
      <c r="AN121" s="134"/>
      <c r="AO121" s="134"/>
      <c r="AP121" s="134"/>
      <c r="AQ121" s="134"/>
      <c r="AR121" s="134"/>
      <c r="AS121" s="134"/>
      <c r="AT121" s="134"/>
      <c r="AU121" s="134"/>
      <c r="AV121" s="10"/>
      <c r="AW121" s="10"/>
      <c r="AX121" s="122" t="str">
        <f>+Itemdata_3.1!B23</f>
        <v xml:space="preserve"> </v>
      </c>
      <c r="AY121" s="134"/>
      <c r="AZ121" s="134"/>
      <c r="BA121" s="134"/>
      <c r="BB121" s="134"/>
      <c r="BC121" s="134"/>
      <c r="BD121" s="134"/>
      <c r="BE121" s="134"/>
      <c r="BF121" s="134"/>
      <c r="BG121" s="134"/>
      <c r="BH121" s="134"/>
      <c r="BI121" s="134"/>
      <c r="BJ121" s="134"/>
      <c r="BK121" s="134"/>
      <c r="BL121" s="134"/>
      <c r="BM121" s="134"/>
      <c r="BN121" s="134"/>
      <c r="BO121" s="134"/>
      <c r="BP121" s="134"/>
      <c r="BQ121" s="134"/>
      <c r="BR121" s="134"/>
      <c r="BS121" s="134"/>
      <c r="BT121" s="134"/>
      <c r="BU121" s="134"/>
      <c r="BV121" s="134"/>
      <c r="BW121" s="134"/>
      <c r="BX121" s="134"/>
      <c r="BY121" s="134"/>
      <c r="BZ121" s="134"/>
      <c r="CA121" s="134"/>
      <c r="CB121" s="9"/>
      <c r="CI121" s="128" t="str">
        <f>+Itemdata_3.1!B15</f>
        <v xml:space="preserve"> </v>
      </c>
      <c r="CJ121" s="289"/>
      <c r="CK121" s="289"/>
      <c r="CL121" s="289"/>
      <c r="CM121" s="289"/>
      <c r="CN121" s="289"/>
      <c r="CO121" s="289"/>
      <c r="CP121" s="289"/>
      <c r="CQ121" s="289"/>
      <c r="CR121" s="289"/>
      <c r="CS121" s="289"/>
      <c r="CT121" s="289"/>
      <c r="CU121" s="289"/>
      <c r="CV121" s="289"/>
      <c r="CW121" s="289"/>
      <c r="CX121" s="289"/>
      <c r="CY121" s="289"/>
      <c r="CZ121" s="289"/>
      <c r="DA121" s="289"/>
      <c r="DB121" s="289"/>
      <c r="DC121" s="289"/>
      <c r="DD121" s="289"/>
      <c r="DE121" s="289"/>
      <c r="DF121" s="289"/>
      <c r="DG121" s="289"/>
      <c r="DH121" s="289"/>
      <c r="DI121" s="289"/>
      <c r="DJ121" s="289"/>
      <c r="DK121" s="8"/>
      <c r="DL121" s="117"/>
      <c r="DM121" s="134"/>
      <c r="DN121" s="134"/>
      <c r="DO121" s="134"/>
      <c r="DP121" s="134"/>
      <c r="DQ121" s="134"/>
      <c r="DR121" s="134"/>
      <c r="DS121" s="134"/>
      <c r="DT121" s="134"/>
      <c r="DU121" s="134"/>
      <c r="DV121" s="134"/>
      <c r="DW121" s="134"/>
      <c r="DX121" s="134"/>
      <c r="DY121" s="134"/>
      <c r="DZ121" s="134"/>
      <c r="EA121" s="10"/>
      <c r="EB121" s="128" t="str">
        <f>+Itemdata_3.1!B16</f>
        <v>ТЕХНИЧЕСКИЙ</v>
      </c>
      <c r="EC121" s="289"/>
      <c r="ED121" s="289"/>
      <c r="EE121" s="289"/>
      <c r="EF121" s="289"/>
      <c r="EG121" s="289"/>
      <c r="EH121" s="289"/>
      <c r="EI121" s="289"/>
      <c r="EJ121" s="289"/>
      <c r="EK121" s="289"/>
      <c r="EL121" s="289"/>
      <c r="EM121" s="289"/>
      <c r="EN121" s="289"/>
      <c r="EO121" s="289"/>
      <c r="EP121" s="289"/>
      <c r="EQ121" s="289"/>
      <c r="ER121" s="289"/>
      <c r="ES121" s="289"/>
      <c r="ET121" s="289"/>
      <c r="EU121" s="289"/>
      <c r="EV121" s="289"/>
      <c r="EW121" s="289"/>
      <c r="EX121" s="289"/>
      <c r="EY121" s="289"/>
      <c r="EZ121" s="289"/>
      <c r="FA121" s="289"/>
      <c r="FB121" s="289"/>
      <c r="FC121" s="289"/>
      <c r="FD121" s="289"/>
      <c r="FE121" s="289"/>
    </row>
    <row r="122" spans="1:161" s="3" customFormat="1">
      <c r="D122" s="130" t="s">
        <v>2</v>
      </c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25"/>
      <c r="AD122" s="25"/>
      <c r="AE122" s="25"/>
      <c r="AF122" s="130" t="s">
        <v>3</v>
      </c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25"/>
      <c r="AW122" s="25"/>
      <c r="AX122" s="130" t="s">
        <v>4</v>
      </c>
      <c r="AY122" s="131"/>
      <c r="AZ122" s="131"/>
      <c r="BA122" s="131"/>
      <c r="BB122" s="131"/>
      <c r="BC122" s="131"/>
      <c r="BD122" s="131"/>
      <c r="BE122" s="131"/>
      <c r="BF122" s="131"/>
      <c r="BG122" s="131"/>
      <c r="BH122" s="131"/>
      <c r="BI122" s="131"/>
      <c r="BJ122" s="131"/>
      <c r="BK122" s="131"/>
      <c r="BL122" s="131"/>
      <c r="BM122" s="131"/>
      <c r="BN122" s="131"/>
      <c r="BO122" s="131"/>
      <c r="BP122" s="131"/>
      <c r="BQ122" s="131"/>
      <c r="BR122" s="131"/>
      <c r="BS122" s="131"/>
      <c r="BT122" s="131"/>
      <c r="BU122" s="131"/>
      <c r="BV122" s="131"/>
      <c r="BW122" s="131"/>
      <c r="BX122" s="131"/>
      <c r="BY122" s="131"/>
      <c r="BZ122" s="131"/>
      <c r="CA122" s="131"/>
      <c r="CB122" s="26"/>
      <c r="CI122" s="116" t="s">
        <v>2</v>
      </c>
      <c r="CJ122" s="146"/>
      <c r="CK122" s="146"/>
      <c r="CL122" s="146"/>
      <c r="CM122" s="146"/>
      <c r="CN122" s="146"/>
      <c r="CO122" s="146"/>
      <c r="CP122" s="146"/>
      <c r="CQ122" s="146"/>
      <c r="CR122" s="146"/>
      <c r="CS122" s="146"/>
      <c r="CT122" s="146"/>
      <c r="CU122" s="146"/>
      <c r="CV122" s="146"/>
      <c r="CW122" s="146"/>
      <c r="CX122" s="146"/>
      <c r="CY122" s="146"/>
      <c r="CZ122" s="146"/>
      <c r="DA122" s="146"/>
      <c r="DB122" s="146"/>
      <c r="DC122" s="146"/>
      <c r="DD122" s="146"/>
      <c r="DE122" s="146"/>
      <c r="DF122" s="146"/>
      <c r="DG122" s="146"/>
      <c r="DH122" s="146"/>
      <c r="DI122" s="146"/>
      <c r="DJ122" s="146"/>
      <c r="DL122" s="116" t="s">
        <v>3</v>
      </c>
      <c r="DM122" s="146"/>
      <c r="DN122" s="146"/>
      <c r="DO122" s="146"/>
      <c r="DP122" s="146"/>
      <c r="DQ122" s="146"/>
      <c r="DR122" s="146"/>
      <c r="DS122" s="146"/>
      <c r="DT122" s="146"/>
      <c r="DU122" s="146"/>
      <c r="DV122" s="146"/>
      <c r="DW122" s="146"/>
      <c r="DX122" s="146"/>
      <c r="DY122" s="146"/>
      <c r="DZ122" s="146"/>
      <c r="EA122" s="25"/>
      <c r="EB122" s="116" t="s">
        <v>4</v>
      </c>
      <c r="EC122" s="146"/>
      <c r="ED122" s="146"/>
      <c r="EE122" s="146"/>
      <c r="EF122" s="146"/>
      <c r="EG122" s="146"/>
      <c r="EH122" s="146"/>
      <c r="EI122" s="146"/>
      <c r="EJ122" s="146"/>
      <c r="EK122" s="146"/>
      <c r="EL122" s="146"/>
      <c r="EM122" s="146"/>
      <c r="EN122" s="146"/>
      <c r="EO122" s="146"/>
      <c r="EP122" s="146"/>
      <c r="EQ122" s="146"/>
      <c r="ER122" s="146"/>
      <c r="ES122" s="146"/>
      <c r="ET122" s="146"/>
      <c r="EU122" s="146"/>
      <c r="EV122" s="146"/>
      <c r="EW122" s="146"/>
      <c r="EX122" s="146"/>
      <c r="EY122" s="146"/>
      <c r="EZ122" s="146"/>
      <c r="FA122" s="146"/>
      <c r="FB122" s="146"/>
      <c r="FC122" s="146"/>
      <c r="FD122" s="146"/>
      <c r="FE122" s="146"/>
    </row>
    <row r="123" spans="1:161" s="3" customFormat="1" ht="4.5" customHeight="1"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6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5"/>
      <c r="EY123" s="25"/>
      <c r="EZ123" s="25"/>
      <c r="FA123" s="25"/>
      <c r="FB123" s="25"/>
      <c r="FC123" s="25"/>
      <c r="FD123" s="25"/>
      <c r="FE123" s="25"/>
    </row>
    <row r="124" spans="1:161">
      <c r="B124" s="5" t="s">
        <v>5</v>
      </c>
      <c r="C124" s="114"/>
      <c r="D124" s="115"/>
      <c r="E124" s="115"/>
      <c r="F124" s="115"/>
      <c r="G124" s="115"/>
      <c r="H124" s="1" t="s">
        <v>5</v>
      </c>
      <c r="J124" s="11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7">
        <v>20</v>
      </c>
      <c r="AH124" s="127"/>
      <c r="AI124" s="127"/>
      <c r="AJ124" s="127"/>
      <c r="AK124" s="114"/>
      <c r="AL124" s="115"/>
      <c r="AM124" s="115"/>
      <c r="AN124" s="1" t="s">
        <v>6</v>
      </c>
      <c r="BJ124" s="5" t="s">
        <v>57</v>
      </c>
      <c r="BM124" s="135" t="str">
        <f>Itemdata_3.1!B37</f>
        <v xml:space="preserve"> </v>
      </c>
      <c r="BN124" s="113"/>
      <c r="BO124" s="113"/>
      <c r="BP124" s="113"/>
      <c r="BQ124" s="113"/>
      <c r="BR124" s="113"/>
      <c r="BS124" s="113"/>
      <c r="BT124" s="113"/>
      <c r="BU124" s="113"/>
      <c r="BV124" s="113"/>
      <c r="BW124" s="113"/>
      <c r="BX124" s="113"/>
      <c r="BY124" s="113"/>
      <c r="BZ124" s="113"/>
      <c r="CA124" s="121"/>
      <c r="CB124" s="9"/>
      <c r="CE124" s="5" t="s">
        <v>5</v>
      </c>
      <c r="CF124" s="115">
        <f>IF(Itemdata_1.1!B30&gt;0,DAY(Itemdata_1.1!B30),"")</f>
        <v>2</v>
      </c>
      <c r="CG124" s="115"/>
      <c r="CH124" s="115"/>
      <c r="CI124" s="115"/>
      <c r="CJ124" s="115"/>
      <c r="CK124" s="1" t="s">
        <v>5</v>
      </c>
      <c r="CM124" s="115" t="str">
        <f>IF(Itemdata_1.1!B47&lt;&gt;"",Itemdata_1.1!B47,"")</f>
        <v>октября</v>
      </c>
      <c r="CN124" s="115"/>
      <c r="CO124" s="115"/>
      <c r="CP124" s="115"/>
      <c r="CQ124" s="115"/>
      <c r="CR124" s="115"/>
      <c r="CS124" s="115"/>
      <c r="CT124" s="115"/>
      <c r="CU124" s="115"/>
      <c r="CV124" s="115"/>
      <c r="CW124" s="115"/>
      <c r="CX124" s="115"/>
      <c r="CY124" s="115"/>
      <c r="CZ124" s="115"/>
      <c r="DA124" s="115"/>
      <c r="DB124" s="115"/>
      <c r="DC124" s="115"/>
      <c r="DD124" s="115"/>
      <c r="DE124" s="115"/>
      <c r="DF124" s="115"/>
      <c r="DG124" s="115"/>
      <c r="DH124" s="115"/>
      <c r="DI124" s="115"/>
      <c r="DJ124" s="5"/>
      <c r="DK124" s="5"/>
      <c r="DL124" s="125">
        <f>IF(Itemdata_1.1!B30&gt;0,YEAR(Itemdata_1.1!B30),"")</f>
        <v>2006</v>
      </c>
      <c r="DM124" s="126"/>
      <c r="DN124" s="126"/>
      <c r="DO124" s="126"/>
      <c r="DP124" s="126"/>
      <c r="DQ124" s="1" t="s">
        <v>6</v>
      </c>
    </row>
    <row r="125" spans="1:161" ht="2.1" customHeight="1">
      <c r="CB125" s="9"/>
    </row>
    <row r="126" spans="1:161">
      <c r="CB126" s="9"/>
      <c r="CD126" s="1" t="s">
        <v>383</v>
      </c>
      <c r="CW126" s="5" t="s">
        <v>5</v>
      </c>
      <c r="CX126" s="114" t="str">
        <f>+Itemdata_3.1!B27</f>
        <v xml:space="preserve"> </v>
      </c>
      <c r="CY126" s="115"/>
      <c r="CZ126" s="115"/>
      <c r="DA126" s="115"/>
      <c r="DB126" s="115"/>
      <c r="DC126" s="31" t="s">
        <v>5</v>
      </c>
      <c r="DD126" s="31"/>
      <c r="DE126" s="114" t="str">
        <f>+Itemdata_3.1!B28</f>
        <v xml:space="preserve"> </v>
      </c>
      <c r="DF126" s="115"/>
      <c r="DG126" s="115"/>
      <c r="DH126" s="115"/>
      <c r="DI126" s="115"/>
      <c r="DJ126" s="115"/>
      <c r="DK126" s="115"/>
      <c r="DL126" s="115"/>
      <c r="DM126" s="115"/>
      <c r="DN126" s="115"/>
      <c r="DO126" s="115"/>
      <c r="DP126" s="115"/>
      <c r="DQ126" s="115"/>
      <c r="DR126" s="115"/>
      <c r="DS126" s="115"/>
      <c r="DT126" s="115"/>
      <c r="DU126" s="115"/>
      <c r="DV126" s="115"/>
      <c r="DW126" s="115"/>
      <c r="DX126" s="115"/>
      <c r="DY126" s="115"/>
      <c r="DZ126" s="115"/>
      <c r="EA126" s="115"/>
      <c r="EB126" s="147">
        <v>20</v>
      </c>
      <c r="EC126" s="147"/>
      <c r="ED126" s="147"/>
      <c r="EE126" s="147"/>
      <c r="EF126" s="114" t="str">
        <f>+Itemdata_3.1!B29</f>
        <v xml:space="preserve"> </v>
      </c>
      <c r="EG126" s="115"/>
      <c r="EH126" s="115"/>
      <c r="EI126" s="31" t="s">
        <v>6</v>
      </c>
      <c r="EJ126" s="31"/>
      <c r="EK126" s="31"/>
      <c r="EL126" s="31"/>
      <c r="EM126" s="31"/>
      <c r="EN126" s="31" t="s">
        <v>58</v>
      </c>
      <c r="EO126" s="31"/>
      <c r="EP126" s="31"/>
      <c r="EQ126" s="114" t="str">
        <f>+Itemdata_3.1!B30</f>
        <v xml:space="preserve"> </v>
      </c>
      <c r="ER126" s="115"/>
      <c r="ES126" s="115"/>
      <c r="ET126" s="115"/>
      <c r="EU126" s="115"/>
      <c r="EV126" s="115"/>
      <c r="EW126" s="115"/>
      <c r="EX126" s="115"/>
      <c r="EY126" s="115"/>
      <c r="EZ126" s="115"/>
      <c r="FA126" s="115"/>
      <c r="FB126" s="115"/>
      <c r="FC126" s="115"/>
      <c r="FD126" s="115"/>
      <c r="FE126" s="1" t="s">
        <v>59</v>
      </c>
    </row>
    <row r="127" spans="1:161" ht="2.1" customHeight="1">
      <c r="CB127" s="9"/>
    </row>
    <row r="128" spans="1:161">
      <c r="CB128" s="9"/>
      <c r="CD128" s="1" t="s">
        <v>60</v>
      </c>
      <c r="CN128" s="8"/>
      <c r="CO128" s="114" t="str">
        <f>+Itemdata_3.1!B31</f>
        <v xml:space="preserve"> </v>
      </c>
      <c r="CP128" s="115"/>
      <c r="CQ128" s="115"/>
      <c r="CR128" s="115"/>
      <c r="CS128" s="115"/>
      <c r="CT128" s="115"/>
      <c r="CU128" s="115"/>
      <c r="CV128" s="115"/>
      <c r="CW128" s="115"/>
      <c r="CX128" s="115"/>
      <c r="CY128" s="115"/>
      <c r="CZ128" s="115"/>
      <c r="DA128" s="115"/>
      <c r="DB128" s="115"/>
      <c r="DC128" s="115"/>
      <c r="DD128" s="115"/>
      <c r="DE128" s="115"/>
      <c r="DF128" s="115"/>
      <c r="DG128" s="115"/>
      <c r="DH128" s="115"/>
      <c r="DI128" s="115"/>
      <c r="DJ128" s="115"/>
      <c r="DK128" s="115"/>
      <c r="DL128" s="115"/>
      <c r="DM128" s="115"/>
      <c r="DN128" s="115"/>
      <c r="DO128" s="115"/>
      <c r="DP128" s="115"/>
      <c r="DQ128" s="115"/>
      <c r="DR128" s="115"/>
      <c r="DS128" s="115"/>
      <c r="DT128" s="115"/>
      <c r="DU128" s="115"/>
      <c r="DV128" s="115"/>
      <c r="DW128" s="115"/>
      <c r="DX128" s="115"/>
      <c r="DY128" s="115"/>
      <c r="DZ128" s="115"/>
      <c r="EA128" s="115"/>
      <c r="EB128" s="115"/>
      <c r="EC128" s="115"/>
      <c r="ED128" s="115"/>
      <c r="EE128" s="115"/>
      <c r="EF128" s="115"/>
      <c r="EG128" s="115"/>
      <c r="EH128" s="115"/>
      <c r="EI128" s="115"/>
      <c r="EJ128" s="115"/>
      <c r="EK128" s="115"/>
      <c r="EL128" s="115"/>
      <c r="EM128" s="115"/>
      <c r="EN128" s="115"/>
      <c r="EO128" s="115"/>
      <c r="EP128" s="115"/>
      <c r="EQ128" s="115"/>
      <c r="ER128" s="115"/>
      <c r="ES128" s="115"/>
      <c r="ET128" s="115"/>
      <c r="EU128" s="115"/>
      <c r="EV128" s="115"/>
      <c r="EW128" s="115"/>
      <c r="EX128" s="115"/>
      <c r="EY128" s="115"/>
      <c r="EZ128" s="115"/>
      <c r="FA128" s="115"/>
      <c r="FB128" s="115"/>
      <c r="FC128" s="115"/>
      <c r="FD128" s="115"/>
      <c r="FE128" s="115"/>
    </row>
    <row r="129" spans="1:161" s="3" customFormat="1" ht="10.5">
      <c r="CB129" s="26"/>
      <c r="CO129" s="116" t="s">
        <v>88</v>
      </c>
      <c r="CP129" s="116"/>
      <c r="CQ129" s="116"/>
      <c r="CR129" s="116"/>
      <c r="CS129" s="116"/>
      <c r="CT129" s="116"/>
      <c r="CU129" s="116"/>
      <c r="CV129" s="116"/>
      <c r="CW129" s="116"/>
      <c r="CX129" s="116"/>
      <c r="CY129" s="116"/>
      <c r="CZ129" s="116"/>
      <c r="DA129" s="116"/>
      <c r="DB129" s="116"/>
      <c r="DC129" s="116"/>
      <c r="DD129" s="116"/>
      <c r="DE129" s="116"/>
      <c r="DF129" s="116"/>
      <c r="DG129" s="116"/>
      <c r="DH129" s="116"/>
      <c r="DI129" s="116"/>
      <c r="DJ129" s="116"/>
      <c r="DK129" s="116"/>
      <c r="DL129" s="116"/>
      <c r="DM129" s="116"/>
      <c r="DN129" s="116"/>
      <c r="DO129" s="116"/>
      <c r="DP129" s="116"/>
      <c r="DQ129" s="116"/>
      <c r="DR129" s="116"/>
      <c r="DS129" s="116"/>
      <c r="DT129" s="116"/>
      <c r="DU129" s="116"/>
      <c r="DV129" s="116"/>
      <c r="DW129" s="116"/>
      <c r="DX129" s="116"/>
      <c r="DY129" s="116"/>
      <c r="DZ129" s="116"/>
      <c r="EA129" s="116"/>
      <c r="EB129" s="116"/>
      <c r="EC129" s="116"/>
      <c r="ED129" s="116"/>
      <c r="EE129" s="116"/>
      <c r="EF129" s="116"/>
      <c r="EG129" s="116"/>
      <c r="EH129" s="116"/>
      <c r="EI129" s="116"/>
      <c r="EJ129" s="116"/>
      <c r="EK129" s="116"/>
      <c r="EL129" s="116"/>
      <c r="EM129" s="116"/>
      <c r="EN129" s="116"/>
      <c r="EO129" s="116"/>
      <c r="EP129" s="116"/>
      <c r="EQ129" s="116"/>
      <c r="ER129" s="116"/>
      <c r="ES129" s="116"/>
      <c r="ET129" s="116"/>
      <c r="EU129" s="116"/>
      <c r="EV129" s="116"/>
      <c r="EW129" s="116"/>
      <c r="EX129" s="116"/>
      <c r="EY129" s="116"/>
      <c r="EZ129" s="116"/>
      <c r="FA129" s="116"/>
      <c r="FB129" s="116"/>
      <c r="FC129" s="116"/>
      <c r="FD129" s="116"/>
      <c r="FE129" s="116"/>
    </row>
    <row r="130" spans="1:161" ht="2.1" customHeight="1">
      <c r="CB130" s="9"/>
    </row>
    <row r="131" spans="1:161">
      <c r="CB131" s="9"/>
      <c r="CD131" s="1" t="s">
        <v>65</v>
      </c>
    </row>
    <row r="132" spans="1:161" ht="13.5">
      <c r="CB132" s="9"/>
      <c r="CD132" s="128" t="str">
        <f>+Itemdata_3.1!B15</f>
        <v xml:space="preserve"> </v>
      </c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29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I132" s="117"/>
      <c r="DJ132" s="134"/>
      <c r="DK132" s="134"/>
      <c r="DL132" s="134"/>
      <c r="DM132" s="134"/>
      <c r="DN132" s="134"/>
      <c r="DO132" s="134"/>
      <c r="DP132" s="134"/>
      <c r="DQ132" s="134"/>
      <c r="DR132" s="134"/>
      <c r="DS132" s="134"/>
      <c r="DT132" s="134"/>
      <c r="DU132" s="134"/>
      <c r="DV132" s="134"/>
      <c r="DW132" s="134"/>
      <c r="DX132" s="134"/>
      <c r="DY132" s="10"/>
      <c r="DZ132" s="10"/>
      <c r="EA132" s="128" t="str">
        <f>+Itemdata_3.1!B16</f>
        <v>ТЕХНИЧЕСКИЙ</v>
      </c>
      <c r="EB132" s="241"/>
      <c r="EC132" s="241"/>
      <c r="ED132" s="241"/>
      <c r="EE132" s="241"/>
      <c r="EF132" s="241"/>
      <c r="EG132" s="241"/>
      <c r="EH132" s="241"/>
      <c r="EI132" s="241"/>
      <c r="EJ132" s="241"/>
      <c r="EK132" s="241"/>
      <c r="EL132" s="241"/>
      <c r="EM132" s="241"/>
      <c r="EN132" s="241"/>
      <c r="EO132" s="241"/>
      <c r="EP132" s="241"/>
      <c r="EQ132" s="241"/>
      <c r="ER132" s="241"/>
      <c r="ES132" s="241"/>
      <c r="ET132" s="241"/>
      <c r="EU132" s="241"/>
      <c r="EV132" s="241"/>
      <c r="EW132" s="241"/>
      <c r="EX132" s="241"/>
      <c r="EY132" s="241"/>
      <c r="EZ132" s="241"/>
      <c r="FA132" s="241"/>
      <c r="FB132" s="241"/>
      <c r="FC132" s="241"/>
      <c r="FD132" s="241"/>
      <c r="FE132" s="241"/>
    </row>
    <row r="133" spans="1:161" s="3" customFormat="1" ht="9" customHeight="1">
      <c r="CB133" s="26"/>
      <c r="CD133" s="116" t="s">
        <v>2</v>
      </c>
      <c r="CE133" s="116"/>
      <c r="CF133" s="116"/>
      <c r="CG133" s="116"/>
      <c r="CH133" s="116"/>
      <c r="CI133" s="116"/>
      <c r="CJ133" s="116"/>
      <c r="CK133" s="116"/>
      <c r="CL133" s="116"/>
      <c r="CM133" s="116"/>
      <c r="CN133" s="116"/>
      <c r="CO133" s="116"/>
      <c r="CP133" s="116"/>
      <c r="CQ133" s="116"/>
      <c r="CR133" s="116"/>
      <c r="CS133" s="116"/>
      <c r="CT133" s="116"/>
      <c r="CU133" s="116"/>
      <c r="CV133" s="116"/>
      <c r="CW133" s="116"/>
      <c r="CX133" s="116"/>
      <c r="CY133" s="116"/>
      <c r="CZ133" s="116"/>
      <c r="DA133" s="116"/>
      <c r="DB133" s="116"/>
      <c r="DC133" s="116"/>
      <c r="DD133" s="116"/>
      <c r="DE133" s="116"/>
      <c r="DF133" s="116"/>
      <c r="DI133" s="116" t="s">
        <v>3</v>
      </c>
      <c r="DJ133" s="146"/>
      <c r="DK133" s="146"/>
      <c r="DL133" s="146"/>
      <c r="DM133" s="146"/>
      <c r="DN133" s="146"/>
      <c r="DO133" s="146"/>
      <c r="DP133" s="146"/>
      <c r="DQ133" s="146"/>
      <c r="DR133" s="146"/>
      <c r="DS133" s="146"/>
      <c r="DT133" s="146"/>
      <c r="DU133" s="146"/>
      <c r="DV133" s="146"/>
      <c r="DW133" s="146"/>
      <c r="DX133" s="146"/>
      <c r="DY133" s="25"/>
      <c r="DZ133" s="25"/>
      <c r="EA133" s="116" t="s">
        <v>4</v>
      </c>
      <c r="EB133" s="146"/>
      <c r="EC133" s="146"/>
      <c r="ED133" s="146"/>
      <c r="EE133" s="146"/>
      <c r="EF133" s="146"/>
      <c r="EG133" s="146"/>
      <c r="EH133" s="146"/>
      <c r="EI133" s="146"/>
      <c r="EJ133" s="146"/>
      <c r="EK133" s="146"/>
      <c r="EL133" s="146"/>
      <c r="EM133" s="146"/>
      <c r="EN133" s="146"/>
      <c r="EO133" s="146"/>
      <c r="EP133" s="146"/>
      <c r="EQ133" s="146"/>
      <c r="ER133" s="146"/>
      <c r="ES133" s="146"/>
      <c r="ET133" s="146"/>
      <c r="EU133" s="146"/>
      <c r="EV133" s="146"/>
      <c r="EW133" s="146"/>
      <c r="EX133" s="146"/>
      <c r="EY133" s="146"/>
      <c r="EZ133" s="146"/>
      <c r="FA133" s="146"/>
      <c r="FB133" s="146"/>
      <c r="FC133" s="146"/>
      <c r="FD133" s="146"/>
      <c r="FE133" s="146"/>
    </row>
    <row r="134" spans="1:161" ht="2.1" customHeight="1">
      <c r="CB134" s="9"/>
    </row>
    <row r="135" spans="1:161">
      <c r="CB135" s="9"/>
      <c r="CE135" s="5" t="s">
        <v>5</v>
      </c>
      <c r="CF135" s="115">
        <f>IF(Itemdata_1.1!B30&gt;0,DAY(Itemdata_1.1!B30),"")</f>
        <v>2</v>
      </c>
      <c r="CG135" s="115"/>
      <c r="CH135" s="115"/>
      <c r="CI135" s="115"/>
      <c r="CJ135" s="115"/>
      <c r="CK135" s="31" t="s">
        <v>5</v>
      </c>
      <c r="CL135" s="31"/>
      <c r="CM135" s="115" t="str">
        <f>IF(Itemdata_1.1!B47&lt;&gt;"",Itemdata_1.1!B47,"")</f>
        <v>октября</v>
      </c>
      <c r="CN135" s="115"/>
      <c r="CO135" s="115"/>
      <c r="CP135" s="115"/>
      <c r="CQ135" s="115"/>
      <c r="CR135" s="115"/>
      <c r="CS135" s="115"/>
      <c r="CT135" s="115"/>
      <c r="CU135" s="115"/>
      <c r="CV135" s="115"/>
      <c r="CW135" s="115"/>
      <c r="CX135" s="115"/>
      <c r="CY135" s="115"/>
      <c r="CZ135" s="115"/>
      <c r="DA135" s="115"/>
      <c r="DB135" s="115"/>
      <c r="DC135" s="115"/>
      <c r="DD135" s="115"/>
      <c r="DE135" s="115"/>
      <c r="DF135" s="115"/>
      <c r="DG135" s="115"/>
      <c r="DH135" s="115"/>
      <c r="DI135" s="115"/>
      <c r="DJ135" s="79"/>
      <c r="DK135" s="79"/>
      <c r="DL135" s="125">
        <f>IF(Itemdata_1.1!B30&gt;0,YEAR(Itemdata_1.1!B30),"")</f>
        <v>2006</v>
      </c>
      <c r="DM135" s="126"/>
      <c r="DN135" s="126"/>
      <c r="DO135" s="126"/>
      <c r="DP135" s="126"/>
      <c r="DQ135" s="1" t="s">
        <v>6</v>
      </c>
      <c r="EN135" s="5" t="s">
        <v>57</v>
      </c>
      <c r="EQ135" s="135" t="str">
        <f>+Itemdata_3.1!B17</f>
        <v>03500000</v>
      </c>
      <c r="ER135" s="113"/>
      <c r="ES135" s="113"/>
      <c r="ET135" s="113"/>
      <c r="EU135" s="113"/>
      <c r="EV135" s="113"/>
      <c r="EW135" s="113"/>
      <c r="EX135" s="113"/>
      <c r="EY135" s="113"/>
      <c r="EZ135" s="113"/>
      <c r="FA135" s="113"/>
      <c r="FB135" s="113"/>
      <c r="FC135" s="113"/>
      <c r="FD135" s="113"/>
      <c r="FE135" s="121"/>
    </row>
    <row r="136" spans="1:161" ht="2.1" customHeight="1">
      <c r="CB136" s="9"/>
    </row>
    <row r="137" spans="1:161" ht="26.1" customHeight="1">
      <c r="A137" s="148" t="s">
        <v>63</v>
      </c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  <c r="AD137" s="148"/>
      <c r="AE137" s="148"/>
      <c r="AF137" s="148"/>
      <c r="AG137" s="148"/>
      <c r="AH137" s="148"/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48"/>
      <c r="AW137" s="148"/>
      <c r="AX137" s="148"/>
      <c r="AY137" s="148"/>
      <c r="AZ137" s="148"/>
      <c r="BA137" s="148"/>
      <c r="BB137" s="148"/>
      <c r="BC137" s="148"/>
      <c r="BD137" s="148"/>
      <c r="BE137" s="148"/>
      <c r="BF137" s="148"/>
      <c r="BG137" s="148"/>
      <c r="BH137" s="148"/>
      <c r="BI137" s="148"/>
      <c r="BJ137" s="148"/>
      <c r="BK137" s="148"/>
      <c r="BL137" s="148"/>
      <c r="BM137" s="148"/>
      <c r="BN137" s="148"/>
      <c r="BO137" s="148"/>
      <c r="BP137" s="148"/>
      <c r="BQ137" s="148"/>
      <c r="BR137" s="148"/>
      <c r="BS137" s="148"/>
      <c r="BT137" s="148"/>
      <c r="BU137" s="148"/>
      <c r="BV137" s="148"/>
      <c r="BW137" s="148"/>
      <c r="BX137" s="148"/>
      <c r="BY137" s="148"/>
      <c r="BZ137" s="148"/>
      <c r="CA137" s="148"/>
      <c r="CB137" s="9"/>
      <c r="CD137" s="136" t="s">
        <v>62</v>
      </c>
      <c r="CE137" s="136"/>
      <c r="CF137" s="136"/>
      <c r="CG137" s="136"/>
      <c r="CH137" s="136"/>
      <c r="CI137" s="136"/>
      <c r="CJ137" s="136"/>
      <c r="CK137" s="136"/>
      <c r="CL137" s="136"/>
      <c r="CM137" s="136"/>
      <c r="CN137" s="136"/>
      <c r="CO137" s="136"/>
      <c r="CP137" s="136"/>
      <c r="CQ137" s="136"/>
      <c r="CR137" s="136"/>
      <c r="CS137" s="136"/>
      <c r="CT137" s="136"/>
      <c r="CU137" s="136"/>
      <c r="CV137" s="136"/>
      <c r="CW137" s="136"/>
      <c r="CX137" s="136"/>
      <c r="CY137" s="136"/>
      <c r="CZ137" s="136"/>
      <c r="DA137" s="136"/>
      <c r="DB137" s="136"/>
      <c r="DC137" s="136"/>
      <c r="DD137" s="136"/>
      <c r="DE137" s="136"/>
      <c r="DF137" s="136"/>
      <c r="DG137" s="136"/>
      <c r="DH137" s="136"/>
      <c r="DI137" s="136"/>
      <c r="DJ137" s="136"/>
      <c r="DK137" s="136"/>
      <c r="DL137" s="136"/>
      <c r="DM137" s="136"/>
      <c r="DN137" s="136"/>
      <c r="DO137" s="136"/>
      <c r="DP137" s="136"/>
      <c r="DQ137" s="136"/>
      <c r="DR137" s="136"/>
      <c r="DS137" s="136"/>
      <c r="DT137" s="136"/>
      <c r="DU137" s="136"/>
      <c r="DV137" s="136"/>
      <c r="DW137" s="136"/>
      <c r="DX137" s="136"/>
      <c r="DY137" s="136"/>
      <c r="DZ137" s="136"/>
      <c r="EA137" s="136"/>
      <c r="EB137" s="136"/>
      <c r="EC137" s="136"/>
      <c r="ED137" s="136"/>
      <c r="EF137" s="137" t="s">
        <v>26</v>
      </c>
      <c r="EG137" s="138"/>
      <c r="EH137" s="138"/>
      <c r="EI137" s="138"/>
      <c r="EJ137" s="138"/>
      <c r="EK137" s="138"/>
      <c r="EL137" s="138"/>
      <c r="EM137" s="138"/>
      <c r="EN137" s="138"/>
      <c r="EO137" s="138"/>
      <c r="EP137" s="138"/>
      <c r="EQ137" s="138"/>
      <c r="ER137" s="139"/>
      <c r="ES137" s="137" t="s">
        <v>61</v>
      </c>
      <c r="ET137" s="138"/>
      <c r="EU137" s="138"/>
      <c r="EV137" s="138"/>
      <c r="EW137" s="138"/>
      <c r="EX137" s="138"/>
      <c r="EY137" s="138"/>
      <c r="EZ137" s="138"/>
      <c r="FA137" s="138"/>
      <c r="FB137" s="138"/>
      <c r="FC137" s="138"/>
      <c r="FD137" s="138"/>
      <c r="FE137" s="139"/>
    </row>
    <row r="138" spans="1:161">
      <c r="CB138" s="9"/>
      <c r="CD138" s="136"/>
      <c r="CE138" s="136"/>
      <c r="CF138" s="136"/>
      <c r="CG138" s="136"/>
      <c r="CH138" s="136"/>
      <c r="CI138" s="136"/>
      <c r="CJ138" s="136"/>
      <c r="CK138" s="136"/>
      <c r="CL138" s="136"/>
      <c r="CM138" s="136"/>
      <c r="CN138" s="136"/>
      <c r="CO138" s="136"/>
      <c r="CP138" s="136"/>
      <c r="CQ138" s="136"/>
      <c r="CR138" s="136"/>
      <c r="CS138" s="136"/>
      <c r="CT138" s="136"/>
      <c r="CU138" s="136"/>
      <c r="CV138" s="136"/>
      <c r="CW138" s="136"/>
      <c r="CX138" s="136"/>
      <c r="CY138" s="136"/>
      <c r="CZ138" s="136"/>
      <c r="DA138" s="136"/>
      <c r="DB138" s="136"/>
      <c r="DC138" s="136"/>
      <c r="DD138" s="136"/>
      <c r="DE138" s="136"/>
      <c r="DF138" s="136"/>
      <c r="DG138" s="136"/>
      <c r="DH138" s="136"/>
      <c r="DI138" s="136"/>
      <c r="DJ138" s="136"/>
      <c r="DK138" s="136"/>
      <c r="DL138" s="136"/>
      <c r="DM138" s="136"/>
      <c r="DN138" s="136"/>
      <c r="DO138" s="136"/>
      <c r="DP138" s="136"/>
      <c r="DQ138" s="136"/>
      <c r="DR138" s="136"/>
      <c r="DS138" s="136"/>
      <c r="DT138" s="136"/>
      <c r="DU138" s="136"/>
      <c r="DV138" s="136"/>
      <c r="DW138" s="136"/>
      <c r="DX138" s="136"/>
      <c r="DY138" s="136"/>
      <c r="DZ138" s="136"/>
      <c r="EA138" s="136"/>
      <c r="EB138" s="136"/>
      <c r="EC138" s="136"/>
      <c r="ED138" s="136"/>
      <c r="EF138" s="140" t="str">
        <f>+Itemdata_3.1!B38</f>
        <v>140000000062/0000</v>
      </c>
      <c r="EG138" s="141"/>
      <c r="EH138" s="141"/>
      <c r="EI138" s="141"/>
      <c r="EJ138" s="141"/>
      <c r="EK138" s="141"/>
      <c r="EL138" s="141"/>
      <c r="EM138" s="141"/>
      <c r="EN138" s="141"/>
      <c r="EO138" s="141"/>
      <c r="EP138" s="141"/>
      <c r="EQ138" s="141"/>
      <c r="ER138" s="142"/>
      <c r="ES138" s="143" t="str">
        <f>+Itemdata_3.1!B39</f>
        <v xml:space="preserve"> </v>
      </c>
      <c r="ET138" s="144"/>
      <c r="EU138" s="144"/>
      <c r="EV138" s="144"/>
      <c r="EW138" s="144"/>
      <c r="EX138" s="144"/>
      <c r="EY138" s="144"/>
      <c r="EZ138" s="144"/>
      <c r="FA138" s="144"/>
      <c r="FB138" s="144"/>
      <c r="FC138" s="144"/>
      <c r="FD138" s="144"/>
      <c r="FE138" s="145"/>
    </row>
    <row r="139" spans="1:161" ht="13.5">
      <c r="A139" s="1" t="s">
        <v>64</v>
      </c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S139" s="122" t="str">
        <f>+Itemdata_3.1!B40</f>
        <v xml:space="preserve"> </v>
      </c>
      <c r="AT139" s="115"/>
      <c r="AU139" s="115"/>
      <c r="AV139" s="115"/>
      <c r="AW139" s="115"/>
      <c r="AX139" s="115"/>
      <c r="AY139" s="115"/>
      <c r="AZ139" s="115"/>
      <c r="BA139" s="115"/>
      <c r="BB139" s="115"/>
      <c r="BC139" s="115"/>
      <c r="BD139" s="115"/>
      <c r="BE139" s="115"/>
      <c r="BF139" s="115"/>
      <c r="BG139" s="115"/>
      <c r="BH139" s="115"/>
      <c r="BI139" s="115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49"/>
      <c r="BV139" s="149"/>
      <c r="BW139" s="149"/>
      <c r="BX139" s="149"/>
      <c r="BY139" s="149"/>
      <c r="BZ139" s="149"/>
      <c r="CA139" s="149"/>
      <c r="CB139" s="9"/>
      <c r="CD139" s="1" t="s">
        <v>64</v>
      </c>
      <c r="CZ139" s="124"/>
      <c r="DA139" s="124"/>
      <c r="DB139" s="124"/>
      <c r="DC139" s="124"/>
      <c r="DD139" s="124"/>
      <c r="DE139" s="124"/>
      <c r="DF139" s="124"/>
      <c r="DG139" s="124"/>
      <c r="DH139" s="124"/>
      <c r="DI139" s="124"/>
      <c r="DJ139" s="124"/>
      <c r="DK139" s="124"/>
      <c r="DL139" s="124"/>
      <c r="DM139" s="124"/>
      <c r="DN139" s="124"/>
      <c r="DO139" s="124"/>
      <c r="DP139" s="124"/>
      <c r="DQ139" s="124"/>
      <c r="DR139" s="124"/>
      <c r="DV139" s="122" t="str">
        <f>+Itemdata_3.1!B21</f>
        <v xml:space="preserve"> </v>
      </c>
      <c r="DW139" s="132"/>
      <c r="DX139" s="132"/>
      <c r="DY139" s="132"/>
      <c r="DZ139" s="132"/>
      <c r="EA139" s="132"/>
      <c r="EB139" s="132"/>
      <c r="EC139" s="132"/>
      <c r="ED139" s="132"/>
      <c r="EE139" s="132"/>
      <c r="EF139" s="132"/>
      <c r="EG139" s="132"/>
      <c r="EH139" s="132"/>
      <c r="EI139" s="132"/>
      <c r="EJ139" s="132"/>
      <c r="EK139" s="132"/>
      <c r="EL139" s="132"/>
      <c r="EM139" s="132"/>
      <c r="EN139" s="132"/>
      <c r="EO139" s="132"/>
      <c r="EP139" s="132"/>
      <c r="EQ139" s="132"/>
      <c r="ER139" s="132"/>
      <c r="ES139" s="132"/>
      <c r="ET139" s="132"/>
      <c r="EU139" s="132"/>
      <c r="EV139" s="132"/>
      <c r="EW139" s="132"/>
      <c r="EX139" s="133"/>
      <c r="EY139" s="133"/>
      <c r="EZ139" s="133"/>
      <c r="FA139" s="133"/>
      <c r="FB139" s="133"/>
      <c r="FC139" s="133"/>
      <c r="FD139" s="133"/>
    </row>
    <row r="140" spans="1:161" s="3" customFormat="1" ht="14.25" customHeight="1">
      <c r="W140" s="116" t="s">
        <v>3</v>
      </c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S140" s="116" t="s">
        <v>4</v>
      </c>
      <c r="AT140" s="116"/>
      <c r="AU140" s="116"/>
      <c r="AV140" s="116"/>
      <c r="AW140" s="116"/>
      <c r="AX140" s="116"/>
      <c r="AY140" s="116"/>
      <c r="AZ140" s="116"/>
      <c r="BA140" s="116"/>
      <c r="BB140" s="116"/>
      <c r="BC140" s="116"/>
      <c r="BD140" s="116"/>
      <c r="BE140" s="116"/>
      <c r="BF140" s="116"/>
      <c r="BG140" s="116"/>
      <c r="BH140" s="116"/>
      <c r="BI140" s="116"/>
      <c r="BJ140" s="116"/>
      <c r="BK140" s="116"/>
      <c r="BL140" s="116"/>
      <c r="BM140" s="116"/>
      <c r="BN140" s="116"/>
      <c r="BO140" s="116"/>
      <c r="BP140" s="116"/>
      <c r="BQ140" s="116"/>
      <c r="BR140" s="116"/>
      <c r="BS140" s="116"/>
      <c r="BT140" s="116"/>
      <c r="BU140" s="146"/>
      <c r="BV140" s="146"/>
      <c r="BW140" s="146"/>
      <c r="BX140" s="146"/>
      <c r="BY140" s="146"/>
      <c r="BZ140" s="146"/>
      <c r="CA140" s="146"/>
      <c r="CB140" s="26"/>
      <c r="CZ140" s="116" t="s">
        <v>3</v>
      </c>
      <c r="DA140" s="116"/>
      <c r="DB140" s="116"/>
      <c r="DC140" s="116"/>
      <c r="DD140" s="116"/>
      <c r="DE140" s="116"/>
      <c r="DF140" s="116"/>
      <c r="DG140" s="116"/>
      <c r="DH140" s="116"/>
      <c r="DI140" s="116"/>
      <c r="DJ140" s="116"/>
      <c r="DK140" s="116"/>
      <c r="DL140" s="116"/>
      <c r="DM140" s="116"/>
      <c r="DN140" s="116"/>
      <c r="DO140" s="116"/>
      <c r="DP140" s="116"/>
      <c r="DQ140" s="116"/>
      <c r="DR140" s="116"/>
      <c r="DV140" s="116" t="s">
        <v>4</v>
      </c>
      <c r="DW140" s="116"/>
      <c r="DX140" s="116"/>
      <c r="DY140" s="116"/>
      <c r="DZ140" s="116"/>
      <c r="EA140" s="116"/>
      <c r="EB140" s="116"/>
      <c r="EC140" s="116"/>
      <c r="ED140" s="116"/>
      <c r="EE140" s="116"/>
      <c r="EF140" s="116"/>
      <c r="EG140" s="116"/>
      <c r="EH140" s="116"/>
      <c r="EI140" s="116"/>
      <c r="EJ140" s="116"/>
      <c r="EK140" s="116"/>
      <c r="EL140" s="116"/>
      <c r="EM140" s="116"/>
      <c r="EN140" s="116"/>
      <c r="EO140" s="116"/>
      <c r="EP140" s="116"/>
      <c r="EQ140" s="116"/>
      <c r="ER140" s="116"/>
      <c r="ES140" s="116"/>
      <c r="ET140" s="116"/>
      <c r="EU140" s="116"/>
      <c r="EV140" s="116"/>
      <c r="EW140" s="116"/>
      <c r="EX140" s="146"/>
      <c r="EY140" s="146"/>
      <c r="EZ140" s="146"/>
      <c r="FA140" s="146"/>
      <c r="FB140" s="146"/>
      <c r="FC140" s="146"/>
      <c r="FD140" s="146"/>
    </row>
    <row r="141" spans="1:161" ht="3" customHeight="1">
      <c r="CB141" s="9"/>
    </row>
    <row r="142" spans="1:161">
      <c r="CB142" s="8"/>
    </row>
  </sheetData>
  <mergeCells count="387">
    <mergeCell ref="A80:BF80"/>
    <mergeCell ref="BG80:BS80"/>
    <mergeCell ref="BT80:CW80"/>
    <mergeCell ref="CX80:DR80"/>
    <mergeCell ref="DS80:EF80"/>
    <mergeCell ref="EG80:ES80"/>
    <mergeCell ref="ET79:FE79"/>
    <mergeCell ref="DS78:EF78"/>
    <mergeCell ref="EG78:ES78"/>
    <mergeCell ref="ET78:FE78"/>
    <mergeCell ref="BG78:BS78"/>
    <mergeCell ref="ET80:FE80"/>
    <mergeCell ref="CX79:DR79"/>
    <mergeCell ref="DS79:EF79"/>
    <mergeCell ref="A77:BF77"/>
    <mergeCell ref="BG77:BS77"/>
    <mergeCell ref="BT77:CW77"/>
    <mergeCell ref="CX77:DR77"/>
    <mergeCell ref="DS77:EF77"/>
    <mergeCell ref="EG79:ES79"/>
    <mergeCell ref="A78:BF78"/>
    <mergeCell ref="EG77:ES77"/>
    <mergeCell ref="ET77:FE77"/>
    <mergeCell ref="A76:BF76"/>
    <mergeCell ref="BG76:BS76"/>
    <mergeCell ref="BT76:CW76"/>
    <mergeCell ref="CX76:DR76"/>
    <mergeCell ref="DS76:EF76"/>
    <mergeCell ref="EG76:ES76"/>
    <mergeCell ref="CX78:DR78"/>
    <mergeCell ref="ET72:FE72"/>
    <mergeCell ref="A73:BF73"/>
    <mergeCell ref="BG73:BS73"/>
    <mergeCell ref="DS75:EF75"/>
    <mergeCell ref="EG75:ES75"/>
    <mergeCell ref="ET75:FE75"/>
    <mergeCell ref="A74:BF74"/>
    <mergeCell ref="BG74:BS74"/>
    <mergeCell ref="DS74:EF74"/>
    <mergeCell ref="EG74:ES74"/>
    <mergeCell ref="A72:BF72"/>
    <mergeCell ref="BG72:BS72"/>
    <mergeCell ref="BT72:CW72"/>
    <mergeCell ref="CX72:DR72"/>
    <mergeCell ref="DS72:EF72"/>
    <mergeCell ref="EG72:ES72"/>
    <mergeCell ref="CM124:DI124"/>
    <mergeCell ref="BT73:CW73"/>
    <mergeCell ref="CX73:DR73"/>
    <mergeCell ref="DS73:EF73"/>
    <mergeCell ref="EG73:ES73"/>
    <mergeCell ref="ET73:FE73"/>
    <mergeCell ref="ET74:FE74"/>
    <mergeCell ref="CX74:DR74"/>
    <mergeCell ref="CX75:DR75"/>
    <mergeCell ref="ET76:FE76"/>
    <mergeCell ref="CD105:DE105"/>
    <mergeCell ref="DV140:FD140"/>
    <mergeCell ref="CI121:DJ121"/>
    <mergeCell ref="DI132:DX132"/>
    <mergeCell ref="EA132:FE132"/>
    <mergeCell ref="EB121:FE121"/>
    <mergeCell ref="DL121:DZ121"/>
    <mergeCell ref="EB122:FE122"/>
    <mergeCell ref="DL122:DZ122"/>
    <mergeCell ref="CI122:DJ122"/>
    <mergeCell ref="BH114:BY114"/>
    <mergeCell ref="DD57:DM58"/>
    <mergeCell ref="CD111:DE111"/>
    <mergeCell ref="EN60:EW60"/>
    <mergeCell ref="EN61:EW61"/>
    <mergeCell ref="ED60:EM60"/>
    <mergeCell ref="BT70:CW70"/>
    <mergeCell ref="CX70:DR70"/>
    <mergeCell ref="DS70:EF70"/>
    <mergeCell ref="EG70:ES70"/>
    <mergeCell ref="DQ6:EB6"/>
    <mergeCell ref="AC112:BC112"/>
    <mergeCell ref="BH112:BY112"/>
    <mergeCell ref="CD112:DE112"/>
    <mergeCell ref="BH116:BY116"/>
    <mergeCell ref="CD116:DE116"/>
    <mergeCell ref="BH115:BY115"/>
    <mergeCell ref="CD115:DE115"/>
    <mergeCell ref="CD113:DE113"/>
    <mergeCell ref="AC114:BC114"/>
    <mergeCell ref="A70:BF70"/>
    <mergeCell ref="AS6:BU6"/>
    <mergeCell ref="AS7:BU7"/>
    <mergeCell ref="DN60:EC60"/>
    <mergeCell ref="ED59:EM59"/>
    <mergeCell ref="A16:EB16"/>
    <mergeCell ref="A22:EB22"/>
    <mergeCell ref="ED57:EM58"/>
    <mergeCell ref="DN59:EC59"/>
    <mergeCell ref="CN6:DO6"/>
    <mergeCell ref="BG65:BS65"/>
    <mergeCell ref="CN7:DO7"/>
    <mergeCell ref="DQ7:EB7"/>
    <mergeCell ref="AC108:BC108"/>
    <mergeCell ref="AC106:BC106"/>
    <mergeCell ref="BH106:BY106"/>
    <mergeCell ref="AZ34:BJ35"/>
    <mergeCell ref="A71:BF71"/>
    <mergeCell ref="BG71:BS71"/>
    <mergeCell ref="BT71:CW71"/>
    <mergeCell ref="BH105:BY105"/>
    <mergeCell ref="BG70:BS70"/>
    <mergeCell ref="BT74:CW74"/>
    <mergeCell ref="P8:AH8"/>
    <mergeCell ref="AI8:AL8"/>
    <mergeCell ref="BL35:CD35"/>
    <mergeCell ref="Y12:EB12"/>
    <mergeCell ref="A15:EB15"/>
    <mergeCell ref="A30:EB30"/>
    <mergeCell ref="AB36:CJ38"/>
    <mergeCell ref="DM36:EO36"/>
    <mergeCell ref="AC107:BC107"/>
    <mergeCell ref="BH107:BY107"/>
    <mergeCell ref="A75:BF75"/>
    <mergeCell ref="BG75:BS75"/>
    <mergeCell ref="BT75:CW75"/>
    <mergeCell ref="BT78:CW78"/>
    <mergeCell ref="A79:BF79"/>
    <mergeCell ref="BG79:BS79"/>
    <mergeCell ref="AC105:BC105"/>
    <mergeCell ref="BA43:FE43"/>
    <mergeCell ref="A6:AB6"/>
    <mergeCell ref="AE6:AP6"/>
    <mergeCell ref="AC113:BC113"/>
    <mergeCell ref="BH113:BY113"/>
    <mergeCell ref="BH111:BY111"/>
    <mergeCell ref="A7:AB7"/>
    <mergeCell ref="AE7:AP7"/>
    <mergeCell ref="V20:EB20"/>
    <mergeCell ref="A25:EB25"/>
    <mergeCell ref="BH110:BY110"/>
    <mergeCell ref="DC32:EO32"/>
    <mergeCell ref="EN59:EW59"/>
    <mergeCell ref="ET70:FE70"/>
    <mergeCell ref="CX71:DR71"/>
    <mergeCell ref="DS71:EF71"/>
    <mergeCell ref="EG71:ES71"/>
    <mergeCell ref="ET71:FE71"/>
    <mergeCell ref="CO31:DB32"/>
    <mergeCell ref="DM35:EO35"/>
    <mergeCell ref="BT79:CW79"/>
    <mergeCell ref="EP30:FE30"/>
    <mergeCell ref="EP26:FE26"/>
    <mergeCell ref="EC27:EO28"/>
    <mergeCell ref="EP32:FE32"/>
    <mergeCell ref="EP29:FE29"/>
    <mergeCell ref="A27:EB27"/>
    <mergeCell ref="AF28:EB28"/>
    <mergeCell ref="CE34:CW34"/>
    <mergeCell ref="BL34:CD34"/>
    <mergeCell ref="EP10:FE10"/>
    <mergeCell ref="I8:M8"/>
    <mergeCell ref="A101:FE101"/>
    <mergeCell ref="DD59:DM59"/>
    <mergeCell ref="A17:EB17"/>
    <mergeCell ref="A18:EB18"/>
    <mergeCell ref="A19:EB19"/>
    <mergeCell ref="A23:EB23"/>
    <mergeCell ref="A24:EB24"/>
    <mergeCell ref="EP28:FE28"/>
    <mergeCell ref="EP11:FE11"/>
    <mergeCell ref="EP12:FE12"/>
    <mergeCell ref="ED6:FE6"/>
    <mergeCell ref="ED7:FE7"/>
    <mergeCell ref="AM8:AO8"/>
    <mergeCell ref="A14:EB14"/>
    <mergeCell ref="DA8:DE8"/>
    <mergeCell ref="DH8:DZ8"/>
    <mergeCell ref="EA8:EB8"/>
    <mergeCell ref="EC8:EG8"/>
    <mergeCell ref="DM37:EO37"/>
    <mergeCell ref="EP31:FE31"/>
    <mergeCell ref="DC31:EO31"/>
    <mergeCell ref="EP33:FE33"/>
    <mergeCell ref="EP34:FE34"/>
    <mergeCell ref="EP18:FE18"/>
    <mergeCell ref="EP19:FE19"/>
    <mergeCell ref="EP27:FE27"/>
    <mergeCell ref="A26:EB26"/>
    <mergeCell ref="A31:CN31"/>
    <mergeCell ref="EP49:FE49"/>
    <mergeCell ref="EC29:EO30"/>
    <mergeCell ref="A32:CN32"/>
    <mergeCell ref="A42:FE42"/>
    <mergeCell ref="Z40:DL40"/>
    <mergeCell ref="CE35:CW35"/>
    <mergeCell ref="EP35:FE35"/>
    <mergeCell ref="DC35:DL37"/>
    <mergeCell ref="EP36:FE36"/>
    <mergeCell ref="EP37:FE37"/>
    <mergeCell ref="ET66:FE66"/>
    <mergeCell ref="CX66:DR66"/>
    <mergeCell ref="DS66:EF66"/>
    <mergeCell ref="EG66:ES66"/>
    <mergeCell ref="A44:FE44"/>
    <mergeCell ref="AL49:DT49"/>
    <mergeCell ref="EP48:FE48"/>
    <mergeCell ref="A47:EO47"/>
    <mergeCell ref="AA45:FE45"/>
    <mergeCell ref="AA46:FE46"/>
    <mergeCell ref="AY57:BN58"/>
    <mergeCell ref="BO59:CB59"/>
    <mergeCell ref="AU48:DT48"/>
    <mergeCell ref="AL50:BM50"/>
    <mergeCell ref="BQ50:CF50"/>
    <mergeCell ref="CJ50:DC50"/>
    <mergeCell ref="DG50:ED50"/>
    <mergeCell ref="DU48:EO49"/>
    <mergeCell ref="CP57:DC58"/>
    <mergeCell ref="CP59:DC59"/>
    <mergeCell ref="BT66:CW66"/>
    <mergeCell ref="ET65:FE65"/>
    <mergeCell ref="DG51:ED51"/>
    <mergeCell ref="AL51:BM51"/>
    <mergeCell ref="ED61:EM61"/>
    <mergeCell ref="AK60:AX60"/>
    <mergeCell ref="AK61:AX61"/>
    <mergeCell ref="AK59:AX59"/>
    <mergeCell ref="BQ51:CF51"/>
    <mergeCell ref="CJ51:DC51"/>
    <mergeCell ref="K61:V61"/>
    <mergeCell ref="W61:AJ61"/>
    <mergeCell ref="DN57:EC58"/>
    <mergeCell ref="A66:BF66"/>
    <mergeCell ref="BG66:BS66"/>
    <mergeCell ref="CP61:DC61"/>
    <mergeCell ref="DN61:EC61"/>
    <mergeCell ref="BT64:FE64"/>
    <mergeCell ref="A65:BF65"/>
    <mergeCell ref="BT65:CW65"/>
    <mergeCell ref="BT67:CW67"/>
    <mergeCell ref="BG67:BS67"/>
    <mergeCell ref="A61:J61"/>
    <mergeCell ref="K58:V58"/>
    <mergeCell ref="W58:AJ58"/>
    <mergeCell ref="AY61:BN61"/>
    <mergeCell ref="A60:J60"/>
    <mergeCell ref="K60:V60"/>
    <mergeCell ref="W60:AJ60"/>
    <mergeCell ref="A58:J58"/>
    <mergeCell ref="DS67:EF67"/>
    <mergeCell ref="ET69:FE69"/>
    <mergeCell ref="AY59:BN59"/>
    <mergeCell ref="CX69:DR69"/>
    <mergeCell ref="DS69:EF69"/>
    <mergeCell ref="CX67:DR67"/>
    <mergeCell ref="EG68:ES68"/>
    <mergeCell ref="A68:BF68"/>
    <mergeCell ref="A67:BF67"/>
    <mergeCell ref="EG67:ES67"/>
    <mergeCell ref="ET68:FE68"/>
    <mergeCell ref="EG65:ES65"/>
    <mergeCell ref="CD98:FE98"/>
    <mergeCell ref="ET67:FE67"/>
    <mergeCell ref="A84:FE84"/>
    <mergeCell ref="A83:FE83"/>
    <mergeCell ref="A69:BF69"/>
    <mergeCell ref="BG68:BS68"/>
    <mergeCell ref="BG69:BS69"/>
    <mergeCell ref="AL93:BF93"/>
    <mergeCell ref="A86:FE86"/>
    <mergeCell ref="CX68:DR68"/>
    <mergeCell ref="A98:CA98"/>
    <mergeCell ref="DD61:DM61"/>
    <mergeCell ref="A85:FE85"/>
    <mergeCell ref="EG69:ES69"/>
    <mergeCell ref="BT68:CW68"/>
    <mergeCell ref="BT69:CW69"/>
    <mergeCell ref="DS68:EF68"/>
    <mergeCell ref="EX61:FE61"/>
    <mergeCell ref="CC61:CO61"/>
    <mergeCell ref="CX65:DR65"/>
    <mergeCell ref="EN57:FE57"/>
    <mergeCell ref="EN58:EW58"/>
    <mergeCell ref="DS65:EF65"/>
    <mergeCell ref="CC57:CO58"/>
    <mergeCell ref="EX60:FE60"/>
    <mergeCell ref="EX59:FE59"/>
    <mergeCell ref="EX58:FE58"/>
    <mergeCell ref="DD60:DM60"/>
    <mergeCell ref="Z41:DL41"/>
    <mergeCell ref="CC60:CO60"/>
    <mergeCell ref="CC59:CO59"/>
    <mergeCell ref="A57:AJ57"/>
    <mergeCell ref="AK57:AX58"/>
    <mergeCell ref="BO57:CB58"/>
    <mergeCell ref="AY60:BN60"/>
    <mergeCell ref="A59:J59"/>
    <mergeCell ref="K59:V59"/>
    <mergeCell ref="W59:AJ59"/>
    <mergeCell ref="CD103:DE103"/>
    <mergeCell ref="AN102:DE102"/>
    <mergeCell ref="A87:FE87"/>
    <mergeCell ref="A88:FE88"/>
    <mergeCell ref="A89:FE89"/>
    <mergeCell ref="BC94:BV94"/>
    <mergeCell ref="CP94:DF94"/>
    <mergeCell ref="AF93:AI93"/>
    <mergeCell ref="BI93:BM93"/>
    <mergeCell ref="W100:FE100"/>
    <mergeCell ref="CD99:FE99"/>
    <mergeCell ref="CP95:DF95"/>
    <mergeCell ref="A96:CA96"/>
    <mergeCell ref="CD96:FE96"/>
    <mergeCell ref="H94:BA95"/>
    <mergeCell ref="CD94:CN95"/>
    <mergeCell ref="BC95:BV95"/>
    <mergeCell ref="A97:CA97"/>
    <mergeCell ref="CD97:FE97"/>
    <mergeCell ref="BH109:BY109"/>
    <mergeCell ref="CD109:DE109"/>
    <mergeCell ref="AC110:BC110"/>
    <mergeCell ref="CD110:DE110"/>
    <mergeCell ref="CD106:DE106"/>
    <mergeCell ref="AC115:BC115"/>
    <mergeCell ref="BH108:BY108"/>
    <mergeCell ref="CD108:DE108"/>
    <mergeCell ref="CD114:DE114"/>
    <mergeCell ref="CD107:DE107"/>
    <mergeCell ref="W140:AO140"/>
    <mergeCell ref="BM124:CA124"/>
    <mergeCell ref="A137:CA137"/>
    <mergeCell ref="W139:AO139"/>
    <mergeCell ref="C124:G124"/>
    <mergeCell ref="J124:AF124"/>
    <mergeCell ref="AS139:CA139"/>
    <mergeCell ref="AS140:CA140"/>
    <mergeCell ref="CO129:FE129"/>
    <mergeCell ref="DE126:EA126"/>
    <mergeCell ref="EB126:EE126"/>
    <mergeCell ref="EQ126:FD126"/>
    <mergeCell ref="EF126:EH126"/>
    <mergeCell ref="CX126:DB126"/>
    <mergeCell ref="CO128:FE128"/>
    <mergeCell ref="EF138:ER138"/>
    <mergeCell ref="ES138:FE138"/>
    <mergeCell ref="DL135:DP135"/>
    <mergeCell ref="CD133:DF133"/>
    <mergeCell ref="CF135:CJ135"/>
    <mergeCell ref="CM135:DI135"/>
    <mergeCell ref="DI133:DX133"/>
    <mergeCell ref="EA133:FE133"/>
    <mergeCell ref="EF137:ER137"/>
    <mergeCell ref="CF124:CJ124"/>
    <mergeCell ref="DV139:FD139"/>
    <mergeCell ref="AC103:BC103"/>
    <mergeCell ref="BH103:BY103"/>
    <mergeCell ref="AF121:AU121"/>
    <mergeCell ref="AF122:AU122"/>
    <mergeCell ref="AX121:CA121"/>
    <mergeCell ref="EQ135:FE135"/>
    <mergeCell ref="CD137:ED138"/>
    <mergeCell ref="ES137:FE137"/>
    <mergeCell ref="B121:AC121"/>
    <mergeCell ref="AC116:BC116"/>
    <mergeCell ref="CZ140:DR140"/>
    <mergeCell ref="CZ139:DR139"/>
    <mergeCell ref="DL124:DP124"/>
    <mergeCell ref="AG124:AJ124"/>
    <mergeCell ref="AK124:AM124"/>
    <mergeCell ref="CD132:DF132"/>
    <mergeCell ref="D122:AB122"/>
    <mergeCell ref="AX122:CA122"/>
    <mergeCell ref="CP60:DC60"/>
    <mergeCell ref="AC111:BC111"/>
    <mergeCell ref="AC104:BC104"/>
    <mergeCell ref="A99:CA99"/>
    <mergeCell ref="A64:BS64"/>
    <mergeCell ref="BO61:CB61"/>
    <mergeCell ref="BO60:CB60"/>
    <mergeCell ref="BH104:BY104"/>
    <mergeCell ref="CD104:DE104"/>
    <mergeCell ref="AC109:BC109"/>
    <mergeCell ref="DM38:EO38"/>
    <mergeCell ref="EF39:EO39"/>
    <mergeCell ref="EP39:FE39"/>
    <mergeCell ref="EF40:EO40"/>
    <mergeCell ref="EP40:FE40"/>
    <mergeCell ref="EP38:FE38"/>
    <mergeCell ref="DN39:EE39"/>
    <mergeCell ref="DN40:EE40"/>
  </mergeCells>
  <phoneticPr fontId="0" type="noConversion"/>
  <pageMargins left="0.31496062992125984" right="0.31496062992125984" top="0.59055118110236227" bottom="0.31496062992125984" header="0.19685039370078741" footer="0.19685039370078741"/>
  <pageSetup paperSize="9" scale="96" orientation="landscape" r:id="rId1"/>
  <headerFooter alignWithMargins="0"/>
  <rowBreaks count="2" manualBreakCount="2">
    <brk id="52" max="16383" man="1"/>
    <brk id="8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329"/>
  <sheetViews>
    <sheetView topLeftCell="A28" workbookViewId="0">
      <selection activeCell="A51" sqref="A51"/>
    </sheetView>
  </sheetViews>
  <sheetFormatPr defaultRowHeight="12.75"/>
  <cols>
    <col min="1" max="1" width="48" customWidth="1"/>
    <col min="2" max="2" width="91.85546875" style="70" customWidth="1"/>
  </cols>
  <sheetData>
    <row r="1" spans="1:2" ht="13.5" thickBot="1">
      <c r="A1" s="48"/>
    </row>
    <row r="2" spans="1:2" ht="26.25" thickBot="1">
      <c r="A2" s="33" t="s">
        <v>375</v>
      </c>
      <c r="B2" s="70" t="s">
        <v>387</v>
      </c>
    </row>
    <row r="3" spans="1:2" ht="13.5" thickBot="1">
      <c r="A3" s="32" t="s">
        <v>92</v>
      </c>
      <c r="B3" s="70" t="s">
        <v>269</v>
      </c>
    </row>
    <row r="4" spans="1:2" ht="13.5" thickBot="1">
      <c r="A4" s="32" t="s">
        <v>208</v>
      </c>
      <c r="B4" s="78">
        <f ca="1">NOW()</f>
        <v>41568.629860532405</v>
      </c>
    </row>
    <row r="5" spans="1:2" ht="13.5" thickBot="1">
      <c r="A5" s="32" t="s">
        <v>209</v>
      </c>
      <c r="B5" s="70" t="s">
        <v>269</v>
      </c>
    </row>
    <row r="6" spans="1:2" ht="13.5" thickBot="1">
      <c r="A6" s="32" t="s">
        <v>210</v>
      </c>
      <c r="B6" s="77">
        <f ca="1">YEAR(B4)</f>
        <v>2013</v>
      </c>
    </row>
    <row r="7" spans="1:2" ht="13.5" thickBot="1">
      <c r="A7" s="33" t="s">
        <v>1</v>
      </c>
      <c r="B7" s="70" t="s">
        <v>269</v>
      </c>
    </row>
    <row r="8" spans="1:2" ht="13.5" thickBot="1">
      <c r="A8" s="33" t="s">
        <v>92</v>
      </c>
      <c r="B8" s="70" t="s">
        <v>269</v>
      </c>
    </row>
    <row r="9" spans="1:2" ht="13.5" thickBot="1">
      <c r="A9" s="32" t="s">
        <v>23</v>
      </c>
      <c r="B9" s="70" t="s">
        <v>269</v>
      </c>
    </row>
    <row r="10" spans="1:2" ht="13.5" thickBot="1">
      <c r="A10" s="32" t="s">
        <v>209</v>
      </c>
      <c r="B10" s="70" t="s">
        <v>269</v>
      </c>
    </row>
    <row r="11" spans="1:2" ht="13.5" thickBot="1">
      <c r="A11" s="32" t="s">
        <v>210</v>
      </c>
      <c r="B11" s="70" t="s">
        <v>269</v>
      </c>
    </row>
    <row r="12" spans="1:2" ht="26.25" thickBot="1">
      <c r="A12" s="33" t="s">
        <v>101</v>
      </c>
      <c r="B12" s="70" t="s">
        <v>269</v>
      </c>
    </row>
    <row r="13" spans="1:2" ht="13.5" thickBot="1">
      <c r="A13" s="33" t="s">
        <v>95</v>
      </c>
      <c r="B13" s="70" t="s">
        <v>269</v>
      </c>
    </row>
    <row r="14" spans="1:2" ht="13.5" thickBot="1">
      <c r="A14" s="33" t="s">
        <v>96</v>
      </c>
      <c r="B14" s="70" t="s">
        <v>328</v>
      </c>
    </row>
    <row r="15" spans="1:2" ht="13.5" thickBot="1">
      <c r="A15" s="33" t="s">
        <v>97</v>
      </c>
    </row>
    <row r="16" spans="1:2" ht="13.5" thickBot="1">
      <c r="A16" s="32" t="s">
        <v>98</v>
      </c>
    </row>
    <row r="17" spans="1:3" ht="13.5" thickBot="1">
      <c r="A17" s="32" t="s">
        <v>99</v>
      </c>
    </row>
    <row r="18" spans="1:3" ht="13.5" thickBot="1">
      <c r="A18" s="32" t="s">
        <v>100</v>
      </c>
      <c r="B18" s="70" t="s">
        <v>269</v>
      </c>
    </row>
    <row r="19" spans="1:3" ht="13.5" thickBot="1">
      <c r="A19" s="32" t="s">
        <v>93</v>
      </c>
      <c r="B19" s="70" t="s">
        <v>269</v>
      </c>
      <c r="C19" s="70" t="s">
        <v>269</v>
      </c>
    </row>
    <row r="20" spans="1:3" ht="26.25" thickBot="1">
      <c r="A20" s="33" t="s">
        <v>94</v>
      </c>
      <c r="B20" s="70" t="s">
        <v>389</v>
      </c>
      <c r="C20" s="70" t="s">
        <v>392</v>
      </c>
    </row>
    <row r="21" spans="1:3" ht="13.5" thickBot="1">
      <c r="A21" s="32" t="s">
        <v>96</v>
      </c>
      <c r="B21" s="70" t="s">
        <v>390</v>
      </c>
    </row>
    <row r="22" spans="1:3">
      <c r="A22" s="61" t="s">
        <v>97</v>
      </c>
      <c r="B22" s="70" t="s">
        <v>391</v>
      </c>
    </row>
    <row r="23" spans="1:3">
      <c r="A23" s="44" t="s">
        <v>98</v>
      </c>
    </row>
    <row r="24" spans="1:3">
      <c r="A24" s="44" t="s">
        <v>99</v>
      </c>
    </row>
    <row r="25" spans="1:3">
      <c r="A25" s="44" t="s">
        <v>100</v>
      </c>
      <c r="B25" s="70" t="s">
        <v>269</v>
      </c>
    </row>
    <row r="26" spans="1:3">
      <c r="A26" s="62" t="s">
        <v>93</v>
      </c>
      <c r="B26" s="70" t="s">
        <v>327</v>
      </c>
    </row>
    <row r="27" spans="1:3">
      <c r="A27" s="62" t="s">
        <v>18</v>
      </c>
      <c r="B27" s="70" t="s">
        <v>269</v>
      </c>
    </row>
    <row r="28" spans="1:3">
      <c r="A28" s="44" t="s">
        <v>30</v>
      </c>
      <c r="B28" s="70" t="s">
        <v>269</v>
      </c>
      <c r="C28" s="70" t="s">
        <v>269</v>
      </c>
    </row>
    <row r="29" spans="1:3">
      <c r="A29" s="44" t="s">
        <v>23</v>
      </c>
      <c r="B29" s="70" t="s">
        <v>269</v>
      </c>
      <c r="C29" s="70" t="s">
        <v>269</v>
      </c>
    </row>
    <row r="30" spans="1:3" ht="13.5" customHeight="1">
      <c r="A30" s="38" t="s">
        <v>102</v>
      </c>
      <c r="B30" s="70" t="s">
        <v>394</v>
      </c>
    </row>
    <row r="31" spans="1:3">
      <c r="A31" s="38" t="s">
        <v>103</v>
      </c>
      <c r="B31" s="70" t="s">
        <v>269</v>
      </c>
    </row>
    <row r="32" spans="1:3" ht="13.5" thickBot="1">
      <c r="A32" s="39" t="s">
        <v>24</v>
      </c>
      <c r="B32" s="70" t="s">
        <v>396</v>
      </c>
    </row>
    <row r="33" spans="1:2" ht="13.5" customHeight="1">
      <c r="A33" s="37" t="s">
        <v>25</v>
      </c>
      <c r="B33" s="80" t="s">
        <v>397</v>
      </c>
    </row>
    <row r="34" spans="1:2" ht="14.25" customHeight="1" thickBot="1">
      <c r="A34" s="39" t="s">
        <v>104</v>
      </c>
      <c r="B34" s="70" t="s">
        <v>398</v>
      </c>
    </row>
    <row r="35" spans="1:2" ht="13.5" thickBot="1">
      <c r="A35" s="40" t="s">
        <v>105</v>
      </c>
      <c r="B35" s="70" t="s">
        <v>399</v>
      </c>
    </row>
    <row r="36" spans="1:2" ht="13.5" thickBot="1">
      <c r="A36" s="40" t="s">
        <v>106</v>
      </c>
      <c r="B36" s="70" t="s">
        <v>269</v>
      </c>
    </row>
    <row r="37" spans="1:2">
      <c r="A37" s="60" t="s">
        <v>107</v>
      </c>
      <c r="B37" s="70" t="s">
        <v>269</v>
      </c>
    </row>
    <row r="38" spans="1:2" ht="16.5" customHeight="1">
      <c r="A38" s="44" t="s">
        <v>108</v>
      </c>
      <c r="B38" s="70" t="s">
        <v>269</v>
      </c>
    </row>
    <row r="39" spans="1:2">
      <c r="A39" s="44" t="s">
        <v>109</v>
      </c>
      <c r="B39" s="70" t="s">
        <v>402</v>
      </c>
    </row>
    <row r="40" spans="1:2" ht="13.5" customHeight="1">
      <c r="A40" s="64" t="s">
        <v>110</v>
      </c>
      <c r="B40" s="70" t="s">
        <v>403</v>
      </c>
    </row>
    <row r="41" spans="1:2" ht="13.5" thickBot="1">
      <c r="A41" s="42" t="s">
        <v>111</v>
      </c>
      <c r="B41" s="70" t="s">
        <v>269</v>
      </c>
    </row>
    <row r="42" spans="1:2">
      <c r="A42" s="43" t="s">
        <v>192</v>
      </c>
      <c r="B42" s="70" t="s">
        <v>401</v>
      </c>
    </row>
    <row r="43" spans="1:2">
      <c r="A43" s="44" t="s">
        <v>61</v>
      </c>
      <c r="B43" s="70" t="s">
        <v>269</v>
      </c>
    </row>
    <row r="44" spans="1:2">
      <c r="A44" s="75" t="s">
        <v>293</v>
      </c>
      <c r="B44" s="70" t="s">
        <v>269</v>
      </c>
    </row>
    <row r="45" spans="1:2">
      <c r="A45" s="75" t="s">
        <v>330</v>
      </c>
      <c r="B45" s="70" t="s">
        <v>393</v>
      </c>
    </row>
    <row r="46" spans="1:2">
      <c r="A46" s="75" t="s">
        <v>331</v>
      </c>
      <c r="B46" s="70" t="s">
        <v>332</v>
      </c>
    </row>
    <row r="47" spans="1:2">
      <c r="A47" s="70"/>
      <c r="B47" s="70" t="s">
        <v>395</v>
      </c>
    </row>
    <row r="48" spans="1:2">
      <c r="A48" s="76"/>
      <c r="B48" s="70" t="s">
        <v>269</v>
      </c>
    </row>
    <row r="49" spans="1:2">
      <c r="A49" s="76" t="s">
        <v>386</v>
      </c>
      <c r="B49" s="70" t="s">
        <v>400</v>
      </c>
    </row>
    <row r="50" spans="1:2">
      <c r="B50" s="70" t="s">
        <v>269</v>
      </c>
    </row>
    <row r="51" spans="1:2">
      <c r="B51" s="70" t="s">
        <v>269</v>
      </c>
    </row>
    <row r="52" spans="1:2">
      <c r="B52" s="70" t="s">
        <v>269</v>
      </c>
    </row>
    <row r="53" spans="1:2">
      <c r="B53" s="70" t="s">
        <v>269</v>
      </c>
    </row>
    <row r="54" spans="1:2">
      <c r="B54" s="70" t="s">
        <v>269</v>
      </c>
    </row>
    <row r="55" spans="1:2">
      <c r="B55" s="70" t="s">
        <v>269</v>
      </c>
    </row>
    <row r="56" spans="1:2">
      <c r="B56" s="70" t="s">
        <v>269</v>
      </c>
    </row>
    <row r="57" spans="1:2">
      <c r="B57" s="70" t="s">
        <v>269</v>
      </c>
    </row>
    <row r="58" spans="1:2">
      <c r="B58" s="70" t="s">
        <v>269</v>
      </c>
    </row>
    <row r="59" spans="1:2">
      <c r="B59" s="70" t="s">
        <v>269</v>
      </c>
    </row>
    <row r="60" spans="1:2">
      <c r="B60" s="70" t="s">
        <v>269</v>
      </c>
    </row>
    <row r="61" spans="1:2">
      <c r="B61" s="70" t="s">
        <v>269</v>
      </c>
    </row>
    <row r="62" spans="1:2">
      <c r="B62" s="70" t="s">
        <v>269</v>
      </c>
    </row>
    <row r="63" spans="1:2">
      <c r="B63" s="70" t="s">
        <v>269</v>
      </c>
    </row>
    <row r="64" spans="1:2">
      <c r="B64" s="70" t="s">
        <v>269</v>
      </c>
    </row>
    <row r="65" spans="2:2">
      <c r="B65" s="70" t="s">
        <v>269</v>
      </c>
    </row>
    <row r="66" spans="2:2">
      <c r="B66" s="70" t="s">
        <v>269</v>
      </c>
    </row>
    <row r="67" spans="2:2">
      <c r="B67" s="70" t="s">
        <v>269</v>
      </c>
    </row>
    <row r="68" spans="2:2">
      <c r="B68" s="70" t="s">
        <v>269</v>
      </c>
    </row>
    <row r="69" spans="2:2">
      <c r="B69" s="70" t="s">
        <v>269</v>
      </c>
    </row>
    <row r="70" spans="2:2">
      <c r="B70" s="70" t="s">
        <v>269</v>
      </c>
    </row>
    <row r="71" spans="2:2">
      <c r="B71" s="70" t="s">
        <v>269</v>
      </c>
    </row>
    <row r="72" spans="2:2">
      <c r="B72" s="70" t="s">
        <v>269</v>
      </c>
    </row>
    <row r="73" spans="2:2">
      <c r="B73" s="70" t="s">
        <v>269</v>
      </c>
    </row>
    <row r="74" spans="2:2">
      <c r="B74" s="70" t="s">
        <v>269</v>
      </c>
    </row>
    <row r="75" spans="2:2">
      <c r="B75" s="70" t="s">
        <v>269</v>
      </c>
    </row>
    <row r="76" spans="2:2">
      <c r="B76" s="70" t="s">
        <v>269</v>
      </c>
    </row>
    <row r="77" spans="2:2">
      <c r="B77" s="70" t="s">
        <v>269</v>
      </c>
    </row>
    <row r="78" spans="2:2">
      <c r="B78" s="70" t="s">
        <v>269</v>
      </c>
    </row>
    <row r="79" spans="2:2">
      <c r="B79" s="70" t="s">
        <v>269</v>
      </c>
    </row>
    <row r="80" spans="2:2">
      <c r="B80" s="70" t="s">
        <v>269</v>
      </c>
    </row>
    <row r="81" spans="2:2">
      <c r="B81" s="70" t="s">
        <v>269</v>
      </c>
    </row>
    <row r="82" spans="2:2">
      <c r="B82" s="70" t="s">
        <v>269</v>
      </c>
    </row>
    <row r="83" spans="2:2">
      <c r="B83" s="70" t="s">
        <v>269</v>
      </c>
    </row>
    <row r="84" spans="2:2">
      <c r="B84" s="70" t="s">
        <v>269</v>
      </c>
    </row>
    <row r="85" spans="2:2">
      <c r="B85" s="70" t="s">
        <v>269</v>
      </c>
    </row>
    <row r="86" spans="2:2">
      <c r="B86" s="70" t="s">
        <v>269</v>
      </c>
    </row>
    <row r="87" spans="2:2">
      <c r="B87" s="70" t="s">
        <v>269</v>
      </c>
    </row>
    <row r="88" spans="2:2">
      <c r="B88" s="70" t="s">
        <v>269</v>
      </c>
    </row>
    <row r="89" spans="2:2">
      <c r="B89" s="70" t="s">
        <v>269</v>
      </c>
    </row>
    <row r="90" spans="2:2">
      <c r="B90" s="70" t="s">
        <v>269</v>
      </c>
    </row>
    <row r="91" spans="2:2">
      <c r="B91" s="70" t="s">
        <v>269</v>
      </c>
    </row>
    <row r="92" spans="2:2">
      <c r="B92" s="70" t="s">
        <v>269</v>
      </c>
    </row>
    <row r="93" spans="2:2">
      <c r="B93" s="70" t="s">
        <v>269</v>
      </c>
    </row>
    <row r="94" spans="2:2">
      <c r="B94" s="70" t="s">
        <v>269</v>
      </c>
    </row>
    <row r="95" spans="2:2">
      <c r="B95" s="70" t="s">
        <v>269</v>
      </c>
    </row>
    <row r="96" spans="2:2">
      <c r="B96" s="70" t="s">
        <v>269</v>
      </c>
    </row>
    <row r="97" spans="2:2">
      <c r="B97" s="70" t="s">
        <v>269</v>
      </c>
    </row>
    <row r="98" spans="2:2">
      <c r="B98" s="70" t="s">
        <v>269</v>
      </c>
    </row>
    <row r="99" spans="2:2">
      <c r="B99" s="70" t="s">
        <v>269</v>
      </c>
    </row>
    <row r="100" spans="2:2">
      <c r="B100" s="70" t="s">
        <v>269</v>
      </c>
    </row>
    <row r="101" spans="2:2">
      <c r="B101" s="70" t="s">
        <v>269</v>
      </c>
    </row>
    <row r="102" spans="2:2">
      <c r="B102" s="70" t="s">
        <v>269</v>
      </c>
    </row>
    <row r="103" spans="2:2">
      <c r="B103" s="70" t="s">
        <v>269</v>
      </c>
    </row>
    <row r="104" spans="2:2">
      <c r="B104" s="70" t="s">
        <v>269</v>
      </c>
    </row>
    <row r="105" spans="2:2">
      <c r="B105" s="70" t="s">
        <v>269</v>
      </c>
    </row>
    <row r="106" spans="2:2">
      <c r="B106" s="70" t="s">
        <v>269</v>
      </c>
    </row>
    <row r="107" spans="2:2">
      <c r="B107" s="70" t="s">
        <v>269</v>
      </c>
    </row>
    <row r="108" spans="2:2">
      <c r="B108" s="70" t="s">
        <v>269</v>
      </c>
    </row>
    <row r="109" spans="2:2">
      <c r="B109" s="70" t="s">
        <v>269</v>
      </c>
    </row>
    <row r="110" spans="2:2">
      <c r="B110" s="70" t="s">
        <v>269</v>
      </c>
    </row>
    <row r="111" spans="2:2">
      <c r="B111" s="70" t="s">
        <v>269</v>
      </c>
    </row>
    <row r="112" spans="2:2">
      <c r="B112" s="70" t="s">
        <v>269</v>
      </c>
    </row>
    <row r="113" spans="2:2">
      <c r="B113" s="70" t="s">
        <v>269</v>
      </c>
    </row>
    <row r="114" spans="2:2">
      <c r="B114" s="70" t="s">
        <v>269</v>
      </c>
    </row>
    <row r="115" spans="2:2">
      <c r="B115" s="70" t="s">
        <v>269</v>
      </c>
    </row>
    <row r="116" spans="2:2">
      <c r="B116" s="70" t="s">
        <v>269</v>
      </c>
    </row>
    <row r="117" spans="2:2">
      <c r="B117" s="70" t="s">
        <v>269</v>
      </c>
    </row>
    <row r="118" spans="2:2">
      <c r="B118" s="70" t="s">
        <v>269</v>
      </c>
    </row>
    <row r="119" spans="2:2">
      <c r="B119" s="70" t="s">
        <v>269</v>
      </c>
    </row>
    <row r="120" spans="2:2">
      <c r="B120" s="70" t="s">
        <v>269</v>
      </c>
    </row>
    <row r="121" spans="2:2">
      <c r="B121" s="70" t="s">
        <v>269</v>
      </c>
    </row>
    <row r="122" spans="2:2">
      <c r="B122" s="70" t="s">
        <v>269</v>
      </c>
    </row>
    <row r="123" spans="2:2">
      <c r="B123" s="70" t="s">
        <v>269</v>
      </c>
    </row>
    <row r="124" spans="2:2">
      <c r="B124" s="70" t="s">
        <v>269</v>
      </c>
    </row>
    <row r="125" spans="2:2">
      <c r="B125" s="70" t="s">
        <v>269</v>
      </c>
    </row>
    <row r="126" spans="2:2">
      <c r="B126" s="70" t="s">
        <v>269</v>
      </c>
    </row>
    <row r="127" spans="2:2">
      <c r="B127" s="70" t="s">
        <v>269</v>
      </c>
    </row>
    <row r="128" spans="2:2">
      <c r="B128" s="70" t="s">
        <v>269</v>
      </c>
    </row>
    <row r="129" spans="2:2">
      <c r="B129" s="70" t="s">
        <v>269</v>
      </c>
    </row>
    <row r="130" spans="2:2">
      <c r="B130" s="70" t="s">
        <v>269</v>
      </c>
    </row>
    <row r="131" spans="2:2">
      <c r="B131" s="70" t="s">
        <v>269</v>
      </c>
    </row>
    <row r="132" spans="2:2">
      <c r="B132" s="70" t="s">
        <v>269</v>
      </c>
    </row>
    <row r="133" spans="2:2">
      <c r="B133" s="70" t="s">
        <v>269</v>
      </c>
    </row>
    <row r="134" spans="2:2">
      <c r="B134" s="70" t="s">
        <v>269</v>
      </c>
    </row>
    <row r="135" spans="2:2">
      <c r="B135" s="70" t="s">
        <v>269</v>
      </c>
    </row>
    <row r="136" spans="2:2">
      <c r="B136" s="70" t="s">
        <v>269</v>
      </c>
    </row>
    <row r="137" spans="2:2">
      <c r="B137" s="70" t="s">
        <v>269</v>
      </c>
    </row>
    <row r="138" spans="2:2">
      <c r="B138" s="70" t="s">
        <v>269</v>
      </c>
    </row>
    <row r="139" spans="2:2">
      <c r="B139" s="70" t="s">
        <v>269</v>
      </c>
    </row>
    <row r="140" spans="2:2">
      <c r="B140" s="70" t="s">
        <v>269</v>
      </c>
    </row>
    <row r="141" spans="2:2">
      <c r="B141" s="70" t="s">
        <v>269</v>
      </c>
    </row>
    <row r="142" spans="2:2">
      <c r="B142" s="70" t="s">
        <v>269</v>
      </c>
    </row>
    <row r="143" spans="2:2">
      <c r="B143" s="70" t="s">
        <v>269</v>
      </c>
    </row>
    <row r="144" spans="2:2">
      <c r="B144" s="70" t="s">
        <v>269</v>
      </c>
    </row>
    <row r="145" spans="2:2">
      <c r="B145" s="70" t="s">
        <v>269</v>
      </c>
    </row>
    <row r="146" spans="2:2">
      <c r="B146" s="70" t="s">
        <v>269</v>
      </c>
    </row>
    <row r="147" spans="2:2">
      <c r="B147" s="70" t="s">
        <v>269</v>
      </c>
    </row>
    <row r="148" spans="2:2">
      <c r="B148" s="70" t="s">
        <v>269</v>
      </c>
    </row>
    <row r="149" spans="2:2">
      <c r="B149" s="70" t="s">
        <v>269</v>
      </c>
    </row>
    <row r="150" spans="2:2">
      <c r="B150" s="70" t="s">
        <v>269</v>
      </c>
    </row>
    <row r="151" spans="2:2">
      <c r="B151" s="70" t="s">
        <v>269</v>
      </c>
    </row>
    <row r="152" spans="2:2">
      <c r="B152" s="70" t="s">
        <v>269</v>
      </c>
    </row>
    <row r="153" spans="2:2">
      <c r="B153" s="70" t="s">
        <v>269</v>
      </c>
    </row>
    <row r="154" spans="2:2">
      <c r="B154" s="70" t="s">
        <v>269</v>
      </c>
    </row>
    <row r="155" spans="2:2">
      <c r="B155" s="70" t="s">
        <v>269</v>
      </c>
    </row>
    <row r="156" spans="2:2">
      <c r="B156" s="70" t="s">
        <v>269</v>
      </c>
    </row>
    <row r="157" spans="2:2">
      <c r="B157" s="70" t="s">
        <v>269</v>
      </c>
    </row>
    <row r="158" spans="2:2">
      <c r="B158" s="70" t="s">
        <v>269</v>
      </c>
    </row>
    <row r="159" spans="2:2">
      <c r="B159" s="70" t="s">
        <v>269</v>
      </c>
    </row>
    <row r="160" spans="2:2">
      <c r="B160" s="70" t="s">
        <v>269</v>
      </c>
    </row>
    <row r="161" spans="2:2">
      <c r="B161" s="70" t="s">
        <v>269</v>
      </c>
    </row>
    <row r="162" spans="2:2">
      <c r="B162" s="70" t="s">
        <v>269</v>
      </c>
    </row>
    <row r="163" spans="2:2">
      <c r="B163" s="70" t="s">
        <v>269</v>
      </c>
    </row>
    <row r="164" spans="2:2">
      <c r="B164" s="70" t="s">
        <v>269</v>
      </c>
    </row>
    <row r="165" spans="2:2">
      <c r="B165" s="70" t="s">
        <v>269</v>
      </c>
    </row>
    <row r="166" spans="2:2">
      <c r="B166" s="70" t="s">
        <v>269</v>
      </c>
    </row>
    <row r="167" spans="2:2">
      <c r="B167" s="70" t="s">
        <v>269</v>
      </c>
    </row>
    <row r="168" spans="2:2">
      <c r="B168" s="70" t="s">
        <v>269</v>
      </c>
    </row>
    <row r="169" spans="2:2">
      <c r="B169" s="70" t="s">
        <v>269</v>
      </c>
    </row>
    <row r="170" spans="2:2">
      <c r="B170" s="70" t="s">
        <v>269</v>
      </c>
    </row>
    <row r="171" spans="2:2">
      <c r="B171" s="70" t="s">
        <v>269</v>
      </c>
    </row>
    <row r="172" spans="2:2">
      <c r="B172" s="70" t="s">
        <v>269</v>
      </c>
    </row>
    <row r="173" spans="2:2">
      <c r="B173" s="70" t="s">
        <v>269</v>
      </c>
    </row>
    <row r="174" spans="2:2">
      <c r="B174" s="70" t="s">
        <v>269</v>
      </c>
    </row>
    <row r="175" spans="2:2">
      <c r="B175" s="70" t="s">
        <v>269</v>
      </c>
    </row>
    <row r="176" spans="2:2">
      <c r="B176" s="70" t="s">
        <v>269</v>
      </c>
    </row>
    <row r="177" spans="2:2">
      <c r="B177" s="70" t="s">
        <v>269</v>
      </c>
    </row>
    <row r="178" spans="2:2">
      <c r="B178" s="70" t="s">
        <v>269</v>
      </c>
    </row>
    <row r="179" spans="2:2">
      <c r="B179" s="70" t="s">
        <v>269</v>
      </c>
    </row>
    <row r="180" spans="2:2">
      <c r="B180" s="70" t="s">
        <v>269</v>
      </c>
    </row>
    <row r="181" spans="2:2">
      <c r="B181" s="70" t="s">
        <v>269</v>
      </c>
    </row>
    <row r="182" spans="2:2">
      <c r="B182" s="70" t="s">
        <v>269</v>
      </c>
    </row>
    <row r="183" spans="2:2">
      <c r="B183" s="70" t="s">
        <v>269</v>
      </c>
    </row>
    <row r="184" spans="2:2">
      <c r="B184" s="70" t="s">
        <v>269</v>
      </c>
    </row>
    <row r="185" spans="2:2">
      <c r="B185" s="70" t="s">
        <v>269</v>
      </c>
    </row>
    <row r="186" spans="2:2">
      <c r="B186" s="70" t="s">
        <v>269</v>
      </c>
    </row>
    <row r="187" spans="2:2">
      <c r="B187" s="70" t="s">
        <v>269</v>
      </c>
    </row>
    <row r="188" spans="2:2">
      <c r="B188" s="70" t="s">
        <v>269</v>
      </c>
    </row>
    <row r="189" spans="2:2">
      <c r="B189" s="70" t="s">
        <v>269</v>
      </c>
    </row>
    <row r="190" spans="2:2">
      <c r="B190" s="70" t="s">
        <v>269</v>
      </c>
    </row>
    <row r="191" spans="2:2">
      <c r="B191" s="70" t="s">
        <v>269</v>
      </c>
    </row>
    <row r="192" spans="2:2">
      <c r="B192" s="70" t="s">
        <v>269</v>
      </c>
    </row>
    <row r="193" spans="2:2">
      <c r="B193" s="70" t="s">
        <v>269</v>
      </c>
    </row>
    <row r="194" spans="2:2">
      <c r="B194" s="70" t="s">
        <v>269</v>
      </c>
    </row>
    <row r="195" spans="2:2">
      <c r="B195" s="70" t="s">
        <v>269</v>
      </c>
    </row>
    <row r="196" spans="2:2">
      <c r="B196" s="70" t="s">
        <v>269</v>
      </c>
    </row>
    <row r="197" spans="2:2">
      <c r="B197" s="70" t="s">
        <v>269</v>
      </c>
    </row>
    <row r="198" spans="2:2">
      <c r="B198" s="70" t="s">
        <v>269</v>
      </c>
    </row>
    <row r="199" spans="2:2">
      <c r="B199" s="70" t="s">
        <v>269</v>
      </c>
    </row>
    <row r="200" spans="2:2">
      <c r="B200" s="70" t="s">
        <v>269</v>
      </c>
    </row>
    <row r="201" spans="2:2">
      <c r="B201" s="70" t="s">
        <v>269</v>
      </c>
    </row>
    <row r="202" spans="2:2">
      <c r="B202" s="70" t="s">
        <v>269</v>
      </c>
    </row>
    <row r="203" spans="2:2">
      <c r="B203" s="70" t="s">
        <v>269</v>
      </c>
    </row>
    <row r="204" spans="2:2">
      <c r="B204" s="70" t="s">
        <v>269</v>
      </c>
    </row>
    <row r="205" spans="2:2">
      <c r="B205" s="70" t="s">
        <v>269</v>
      </c>
    </row>
    <row r="206" spans="2:2">
      <c r="B206" s="70" t="s">
        <v>269</v>
      </c>
    </row>
    <row r="207" spans="2:2">
      <c r="B207" s="70" t="s">
        <v>269</v>
      </c>
    </row>
    <row r="208" spans="2:2">
      <c r="B208" s="70" t="s">
        <v>269</v>
      </c>
    </row>
    <row r="209" spans="2:2">
      <c r="B209" s="70" t="s">
        <v>269</v>
      </c>
    </row>
    <row r="210" spans="2:2">
      <c r="B210" s="70" t="s">
        <v>269</v>
      </c>
    </row>
    <row r="211" spans="2:2">
      <c r="B211" s="70" t="s">
        <v>269</v>
      </c>
    </row>
    <row r="212" spans="2:2">
      <c r="B212" s="70" t="s">
        <v>269</v>
      </c>
    </row>
    <row r="213" spans="2:2">
      <c r="B213" s="70" t="s">
        <v>269</v>
      </c>
    </row>
    <row r="214" spans="2:2">
      <c r="B214" s="70" t="s">
        <v>269</v>
      </c>
    </row>
    <row r="215" spans="2:2">
      <c r="B215" s="70" t="s">
        <v>269</v>
      </c>
    </row>
    <row r="216" spans="2:2">
      <c r="B216" s="70" t="s">
        <v>269</v>
      </c>
    </row>
    <row r="217" spans="2:2">
      <c r="B217" s="70" t="s">
        <v>269</v>
      </c>
    </row>
    <row r="218" spans="2:2">
      <c r="B218" s="70" t="s">
        <v>269</v>
      </c>
    </row>
    <row r="219" spans="2:2">
      <c r="B219" s="70" t="s">
        <v>269</v>
      </c>
    </row>
    <row r="220" spans="2:2">
      <c r="B220" s="70" t="s">
        <v>269</v>
      </c>
    </row>
    <row r="221" spans="2:2">
      <c r="B221" s="70" t="s">
        <v>269</v>
      </c>
    </row>
    <row r="222" spans="2:2">
      <c r="B222" s="70" t="s">
        <v>269</v>
      </c>
    </row>
    <row r="223" spans="2:2">
      <c r="B223" s="70" t="s">
        <v>269</v>
      </c>
    </row>
    <row r="224" spans="2:2">
      <c r="B224" s="70" t="s">
        <v>269</v>
      </c>
    </row>
    <row r="225" spans="2:2">
      <c r="B225" s="70" t="s">
        <v>269</v>
      </c>
    </row>
    <row r="226" spans="2:2">
      <c r="B226" s="70" t="s">
        <v>269</v>
      </c>
    </row>
    <row r="227" spans="2:2">
      <c r="B227" s="70" t="s">
        <v>269</v>
      </c>
    </row>
    <row r="228" spans="2:2">
      <c r="B228" s="70" t="s">
        <v>269</v>
      </c>
    </row>
    <row r="229" spans="2:2">
      <c r="B229" s="70" t="s">
        <v>269</v>
      </c>
    </row>
    <row r="230" spans="2:2">
      <c r="B230" s="70" t="s">
        <v>269</v>
      </c>
    </row>
    <row r="231" spans="2:2">
      <c r="B231" s="70" t="s">
        <v>269</v>
      </c>
    </row>
    <row r="232" spans="2:2">
      <c r="B232" s="70" t="s">
        <v>269</v>
      </c>
    </row>
    <row r="233" spans="2:2">
      <c r="B233" s="70" t="s">
        <v>269</v>
      </c>
    </row>
    <row r="234" spans="2:2">
      <c r="B234" s="70" t="s">
        <v>269</v>
      </c>
    </row>
    <row r="235" spans="2:2">
      <c r="B235" s="70" t="s">
        <v>269</v>
      </c>
    </row>
    <row r="236" spans="2:2">
      <c r="B236" s="70" t="s">
        <v>269</v>
      </c>
    </row>
    <row r="237" spans="2:2">
      <c r="B237" s="70" t="s">
        <v>269</v>
      </c>
    </row>
    <row r="238" spans="2:2">
      <c r="B238" s="70" t="s">
        <v>269</v>
      </c>
    </row>
    <row r="239" spans="2:2">
      <c r="B239" s="70" t="s">
        <v>269</v>
      </c>
    </row>
    <row r="240" spans="2:2">
      <c r="B240" s="70" t="s">
        <v>269</v>
      </c>
    </row>
    <row r="241" spans="2:2">
      <c r="B241" s="70" t="s">
        <v>269</v>
      </c>
    </row>
    <row r="242" spans="2:2">
      <c r="B242" s="70" t="s">
        <v>269</v>
      </c>
    </row>
    <row r="243" spans="2:2">
      <c r="B243" s="70" t="s">
        <v>269</v>
      </c>
    </row>
    <row r="244" spans="2:2">
      <c r="B244" s="70" t="s">
        <v>269</v>
      </c>
    </row>
    <row r="245" spans="2:2">
      <c r="B245" s="70" t="s">
        <v>269</v>
      </c>
    </row>
    <row r="246" spans="2:2">
      <c r="B246" s="70" t="s">
        <v>269</v>
      </c>
    </row>
    <row r="247" spans="2:2">
      <c r="B247" s="70" t="s">
        <v>269</v>
      </c>
    </row>
    <row r="248" spans="2:2">
      <c r="B248" s="70" t="s">
        <v>269</v>
      </c>
    </row>
    <row r="249" spans="2:2">
      <c r="B249" s="70" t="s">
        <v>269</v>
      </c>
    </row>
    <row r="250" spans="2:2">
      <c r="B250" s="70" t="s">
        <v>269</v>
      </c>
    </row>
    <row r="251" spans="2:2">
      <c r="B251" s="70" t="s">
        <v>269</v>
      </c>
    </row>
    <row r="252" spans="2:2">
      <c r="B252" s="70" t="s">
        <v>269</v>
      </c>
    </row>
    <row r="253" spans="2:2">
      <c r="B253" s="70" t="s">
        <v>269</v>
      </c>
    </row>
    <row r="254" spans="2:2">
      <c r="B254" s="70" t="s">
        <v>269</v>
      </c>
    </row>
    <row r="255" spans="2:2">
      <c r="B255" s="70" t="s">
        <v>269</v>
      </c>
    </row>
    <row r="256" spans="2:2">
      <c r="B256" s="70" t="s">
        <v>269</v>
      </c>
    </row>
    <row r="257" spans="2:2">
      <c r="B257" s="70" t="s">
        <v>269</v>
      </c>
    </row>
    <row r="258" spans="2:2">
      <c r="B258" s="70" t="s">
        <v>269</v>
      </c>
    </row>
    <row r="259" spans="2:2">
      <c r="B259" s="70" t="s">
        <v>269</v>
      </c>
    </row>
    <row r="260" spans="2:2">
      <c r="B260" s="70" t="s">
        <v>269</v>
      </c>
    </row>
    <row r="261" spans="2:2">
      <c r="B261" s="70" t="s">
        <v>269</v>
      </c>
    </row>
    <row r="262" spans="2:2">
      <c r="B262" s="70" t="s">
        <v>269</v>
      </c>
    </row>
    <row r="263" spans="2:2">
      <c r="B263" s="70" t="s">
        <v>269</v>
      </c>
    </row>
    <row r="264" spans="2:2">
      <c r="B264" s="70" t="s">
        <v>269</v>
      </c>
    </row>
    <row r="265" spans="2:2">
      <c r="B265" s="70" t="s">
        <v>269</v>
      </c>
    </row>
    <row r="266" spans="2:2">
      <c r="B266" s="70" t="s">
        <v>269</v>
      </c>
    </row>
    <row r="267" spans="2:2">
      <c r="B267" s="70" t="s">
        <v>269</v>
      </c>
    </row>
    <row r="268" spans="2:2">
      <c r="B268" s="70" t="s">
        <v>269</v>
      </c>
    </row>
    <row r="269" spans="2:2">
      <c r="B269" s="70" t="s">
        <v>269</v>
      </c>
    </row>
    <row r="270" spans="2:2">
      <c r="B270" s="70" t="s">
        <v>269</v>
      </c>
    </row>
    <row r="271" spans="2:2">
      <c r="B271" s="70" t="s">
        <v>269</v>
      </c>
    </row>
    <row r="272" spans="2:2">
      <c r="B272" s="70" t="s">
        <v>269</v>
      </c>
    </row>
    <row r="273" spans="2:2">
      <c r="B273" s="70" t="s">
        <v>269</v>
      </c>
    </row>
    <row r="274" spans="2:2">
      <c r="B274" s="70" t="s">
        <v>269</v>
      </c>
    </row>
    <row r="275" spans="2:2">
      <c r="B275" s="70" t="s">
        <v>269</v>
      </c>
    </row>
    <row r="276" spans="2:2">
      <c r="B276" s="70" t="s">
        <v>269</v>
      </c>
    </row>
    <row r="277" spans="2:2">
      <c r="B277" s="70" t="s">
        <v>269</v>
      </c>
    </row>
    <row r="278" spans="2:2">
      <c r="B278" s="70" t="s">
        <v>269</v>
      </c>
    </row>
    <row r="279" spans="2:2">
      <c r="B279" s="70" t="s">
        <v>269</v>
      </c>
    </row>
    <row r="280" spans="2:2">
      <c r="B280" s="70" t="s">
        <v>269</v>
      </c>
    </row>
    <row r="281" spans="2:2">
      <c r="B281" s="70" t="s">
        <v>269</v>
      </c>
    </row>
    <row r="282" spans="2:2">
      <c r="B282" s="70" t="s">
        <v>269</v>
      </c>
    </row>
    <row r="283" spans="2:2">
      <c r="B283" s="70" t="s">
        <v>269</v>
      </c>
    </row>
    <row r="284" spans="2:2">
      <c r="B284" s="70" t="s">
        <v>269</v>
      </c>
    </row>
    <row r="285" spans="2:2">
      <c r="B285" s="70" t="s">
        <v>269</v>
      </c>
    </row>
    <row r="286" spans="2:2">
      <c r="B286" s="70" t="s">
        <v>269</v>
      </c>
    </row>
    <row r="287" spans="2:2">
      <c r="B287" s="70" t="s">
        <v>269</v>
      </c>
    </row>
    <row r="288" spans="2:2">
      <c r="B288" s="70" t="s">
        <v>269</v>
      </c>
    </row>
    <row r="289" spans="2:2">
      <c r="B289" s="70" t="s">
        <v>269</v>
      </c>
    </row>
    <row r="290" spans="2:2">
      <c r="B290" s="70" t="s">
        <v>269</v>
      </c>
    </row>
    <row r="291" spans="2:2">
      <c r="B291" s="70" t="s">
        <v>269</v>
      </c>
    </row>
    <row r="292" spans="2:2">
      <c r="B292" s="70" t="s">
        <v>269</v>
      </c>
    </row>
    <row r="293" spans="2:2">
      <c r="B293" s="70" t="s">
        <v>269</v>
      </c>
    </row>
    <row r="294" spans="2:2">
      <c r="B294" s="70" t="s">
        <v>269</v>
      </c>
    </row>
    <row r="295" spans="2:2">
      <c r="B295" s="70" t="s">
        <v>269</v>
      </c>
    </row>
    <row r="296" spans="2:2">
      <c r="B296" s="70" t="s">
        <v>269</v>
      </c>
    </row>
    <row r="297" spans="2:2">
      <c r="B297" s="70" t="s">
        <v>269</v>
      </c>
    </row>
    <row r="298" spans="2:2">
      <c r="B298" s="70" t="s">
        <v>269</v>
      </c>
    </row>
    <row r="299" spans="2:2">
      <c r="B299" s="70" t="s">
        <v>269</v>
      </c>
    </row>
    <row r="300" spans="2:2">
      <c r="B300" s="70" t="s">
        <v>269</v>
      </c>
    </row>
    <row r="301" spans="2:2">
      <c r="B301" s="70" t="s">
        <v>269</v>
      </c>
    </row>
    <row r="302" spans="2:2">
      <c r="B302" s="70" t="s">
        <v>269</v>
      </c>
    </row>
    <row r="303" spans="2:2">
      <c r="B303" s="70" t="s">
        <v>269</v>
      </c>
    </row>
    <row r="304" spans="2:2">
      <c r="B304" s="70" t="s">
        <v>269</v>
      </c>
    </row>
    <row r="305" spans="2:2">
      <c r="B305" s="70" t="s">
        <v>269</v>
      </c>
    </row>
    <row r="306" spans="2:2">
      <c r="B306" s="70" t="s">
        <v>269</v>
      </c>
    </row>
    <row r="307" spans="2:2">
      <c r="B307" s="70" t="s">
        <v>269</v>
      </c>
    </row>
    <row r="308" spans="2:2">
      <c r="B308" s="70" t="s">
        <v>269</v>
      </c>
    </row>
    <row r="309" spans="2:2">
      <c r="B309" s="70" t="s">
        <v>269</v>
      </c>
    </row>
    <row r="310" spans="2:2">
      <c r="B310" s="70" t="s">
        <v>269</v>
      </c>
    </row>
    <row r="311" spans="2:2">
      <c r="B311" s="70" t="s">
        <v>269</v>
      </c>
    </row>
    <row r="312" spans="2:2">
      <c r="B312" s="70" t="s">
        <v>269</v>
      </c>
    </row>
    <row r="313" spans="2:2">
      <c r="B313" s="70" t="s">
        <v>269</v>
      </c>
    </row>
    <row r="314" spans="2:2">
      <c r="B314" s="70" t="s">
        <v>269</v>
      </c>
    </row>
    <row r="315" spans="2:2">
      <c r="B315" s="70" t="s">
        <v>269</v>
      </c>
    </row>
    <row r="316" spans="2:2">
      <c r="B316" s="70" t="s">
        <v>269</v>
      </c>
    </row>
    <row r="317" spans="2:2">
      <c r="B317" s="70" t="s">
        <v>269</v>
      </c>
    </row>
    <row r="318" spans="2:2">
      <c r="B318" s="70" t="s">
        <v>269</v>
      </c>
    </row>
    <row r="319" spans="2:2">
      <c r="B319" s="70" t="s">
        <v>269</v>
      </c>
    </row>
    <row r="320" spans="2:2">
      <c r="B320" s="70" t="s">
        <v>269</v>
      </c>
    </row>
    <row r="321" spans="2:2">
      <c r="B321" s="70" t="s">
        <v>269</v>
      </c>
    </row>
    <row r="322" spans="2:2">
      <c r="B322" s="70" t="s">
        <v>269</v>
      </c>
    </row>
    <row r="323" spans="2:2">
      <c r="B323" s="70" t="s">
        <v>269</v>
      </c>
    </row>
    <row r="324" spans="2:2">
      <c r="B324" s="70" t="s">
        <v>269</v>
      </c>
    </row>
    <row r="325" spans="2:2">
      <c r="B325" s="70" t="s">
        <v>269</v>
      </c>
    </row>
    <row r="326" spans="2:2">
      <c r="B326" s="70" t="s">
        <v>269</v>
      </c>
    </row>
    <row r="327" spans="2:2">
      <c r="B327" s="70" t="s">
        <v>269</v>
      </c>
    </row>
    <row r="328" spans="2:2">
      <c r="B328" s="70" t="s">
        <v>269</v>
      </c>
    </row>
    <row r="329" spans="2:2">
      <c r="B329" s="70" t="s">
        <v>269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G2101"/>
  <sheetViews>
    <sheetView topLeftCell="A25" workbookViewId="0">
      <selection activeCell="B4" sqref="B3:B2101"/>
    </sheetView>
  </sheetViews>
  <sheetFormatPr defaultRowHeight="12.75"/>
  <cols>
    <col min="1" max="1" width="23" customWidth="1"/>
    <col min="2" max="2" width="19.5703125" style="70" customWidth="1"/>
    <col min="3" max="3" width="25.140625" customWidth="1"/>
    <col min="4" max="4" width="19.42578125" customWidth="1"/>
    <col min="5" max="5" width="20" customWidth="1"/>
    <col min="6" max="6" width="20.5703125" customWidth="1"/>
    <col min="7" max="7" width="14.42578125" customWidth="1"/>
  </cols>
  <sheetData>
    <row r="1" spans="1:7" ht="15">
      <c r="A1" s="57" t="s">
        <v>286</v>
      </c>
      <c r="B1" s="74" t="s">
        <v>287</v>
      </c>
      <c r="C1" s="57" t="s">
        <v>288</v>
      </c>
      <c r="D1" s="57" t="s">
        <v>288</v>
      </c>
      <c r="E1" s="57" t="s">
        <v>288</v>
      </c>
      <c r="F1" s="57" t="s">
        <v>288</v>
      </c>
      <c r="G1" s="57" t="s">
        <v>289</v>
      </c>
    </row>
    <row r="2" spans="1:7">
      <c r="A2" s="73" t="s">
        <v>269</v>
      </c>
      <c r="B2" s="73"/>
      <c r="C2" s="73" t="s">
        <v>269</v>
      </c>
      <c r="D2" s="73" t="s">
        <v>269</v>
      </c>
      <c r="E2" s="73" t="s">
        <v>269</v>
      </c>
      <c r="F2" s="73" t="s">
        <v>269</v>
      </c>
      <c r="G2" s="73" t="s">
        <v>269</v>
      </c>
    </row>
    <row r="3" spans="1:7">
      <c r="A3" s="73" t="s">
        <v>269</v>
      </c>
      <c r="B3" s="73" t="s">
        <v>327</v>
      </c>
      <c r="C3" s="73" t="s">
        <v>269</v>
      </c>
      <c r="D3" s="73" t="s">
        <v>269</v>
      </c>
      <c r="E3" s="73" t="s">
        <v>269</v>
      </c>
      <c r="F3" s="73" t="s">
        <v>269</v>
      </c>
      <c r="G3" s="73" t="s">
        <v>269</v>
      </c>
    </row>
    <row r="4" spans="1:7">
      <c r="A4" s="73" t="s">
        <v>269</v>
      </c>
      <c r="B4" s="73" t="s">
        <v>327</v>
      </c>
      <c r="C4" s="73" t="s">
        <v>269</v>
      </c>
      <c r="D4" s="73" t="s">
        <v>269</v>
      </c>
      <c r="E4" s="73" t="s">
        <v>269</v>
      </c>
      <c r="F4" s="73" t="s">
        <v>269</v>
      </c>
      <c r="G4" s="73" t="s">
        <v>269</v>
      </c>
    </row>
    <row r="5" spans="1:7">
      <c r="A5" s="73" t="s">
        <v>269</v>
      </c>
      <c r="B5" s="73" t="s">
        <v>327</v>
      </c>
      <c r="C5" s="73" t="s">
        <v>269</v>
      </c>
      <c r="D5" s="73" t="s">
        <v>269</v>
      </c>
      <c r="E5" s="73" t="s">
        <v>269</v>
      </c>
      <c r="F5" s="73" t="s">
        <v>269</v>
      </c>
      <c r="G5" s="73" t="s">
        <v>269</v>
      </c>
    </row>
    <row r="6" spans="1:7">
      <c r="A6" s="73" t="s">
        <v>269</v>
      </c>
      <c r="B6" s="73" t="s">
        <v>327</v>
      </c>
      <c r="C6" s="73" t="s">
        <v>269</v>
      </c>
      <c r="D6" s="73" t="s">
        <v>269</v>
      </c>
      <c r="E6" s="73" t="s">
        <v>269</v>
      </c>
      <c r="F6" s="73" t="s">
        <v>269</v>
      </c>
      <c r="G6" s="73" t="s">
        <v>269</v>
      </c>
    </row>
    <row r="7" spans="1:7">
      <c r="A7" s="73" t="s">
        <v>269</v>
      </c>
      <c r="B7" s="73" t="s">
        <v>327</v>
      </c>
      <c r="C7" s="73" t="s">
        <v>269</v>
      </c>
      <c r="D7" s="73" t="s">
        <v>269</v>
      </c>
      <c r="E7" s="73" t="s">
        <v>269</v>
      </c>
      <c r="F7" s="73" t="s">
        <v>269</v>
      </c>
      <c r="G7" s="73" t="s">
        <v>269</v>
      </c>
    </row>
    <row r="8" spans="1:7">
      <c r="A8" s="73" t="s">
        <v>269</v>
      </c>
      <c r="B8" s="73" t="s">
        <v>327</v>
      </c>
      <c r="C8" s="73" t="s">
        <v>269</v>
      </c>
      <c r="D8" s="73" t="s">
        <v>269</v>
      </c>
      <c r="E8" s="73" t="s">
        <v>269</v>
      </c>
      <c r="F8" s="73" t="s">
        <v>269</v>
      </c>
      <c r="G8" s="73" t="s">
        <v>269</v>
      </c>
    </row>
    <row r="9" spans="1:7">
      <c r="A9" s="73" t="s">
        <v>269</v>
      </c>
      <c r="B9" s="73" t="s">
        <v>327</v>
      </c>
      <c r="C9" s="73" t="s">
        <v>269</v>
      </c>
      <c r="D9" s="73" t="s">
        <v>269</v>
      </c>
      <c r="E9" s="73" t="s">
        <v>269</v>
      </c>
      <c r="F9" s="73" t="s">
        <v>269</v>
      </c>
      <c r="G9" s="73" t="s">
        <v>269</v>
      </c>
    </row>
    <row r="10" spans="1:7">
      <c r="A10" s="73" t="s">
        <v>269</v>
      </c>
      <c r="B10" s="73" t="s">
        <v>327</v>
      </c>
      <c r="C10" s="73" t="s">
        <v>269</v>
      </c>
      <c r="D10" s="73" t="s">
        <v>269</v>
      </c>
      <c r="E10" s="73" t="s">
        <v>269</v>
      </c>
      <c r="F10" s="73" t="s">
        <v>269</v>
      </c>
      <c r="G10" s="73" t="s">
        <v>269</v>
      </c>
    </row>
    <row r="11" spans="1:7">
      <c r="A11" s="73" t="s">
        <v>269</v>
      </c>
      <c r="B11" s="73" t="s">
        <v>327</v>
      </c>
      <c r="C11" s="73" t="s">
        <v>269</v>
      </c>
      <c r="D11" s="73" t="s">
        <v>269</v>
      </c>
      <c r="E11" s="73" t="s">
        <v>269</v>
      </c>
      <c r="F11" s="73" t="s">
        <v>269</v>
      </c>
      <c r="G11" s="73" t="s">
        <v>269</v>
      </c>
    </row>
    <row r="12" spans="1:7">
      <c r="A12" s="73" t="s">
        <v>269</v>
      </c>
      <c r="B12" s="73" t="s">
        <v>327</v>
      </c>
      <c r="C12" s="73" t="s">
        <v>269</v>
      </c>
      <c r="D12" s="73" t="s">
        <v>269</v>
      </c>
      <c r="E12" s="73" t="s">
        <v>269</v>
      </c>
      <c r="F12" s="73" t="s">
        <v>269</v>
      </c>
      <c r="G12" s="73" t="s">
        <v>269</v>
      </c>
    </row>
    <row r="13" spans="1:7">
      <c r="A13" s="73" t="s">
        <v>269</v>
      </c>
      <c r="B13" s="73" t="s">
        <v>327</v>
      </c>
      <c r="C13" s="73" t="s">
        <v>269</v>
      </c>
      <c r="D13" s="73" t="s">
        <v>269</v>
      </c>
      <c r="E13" s="73" t="s">
        <v>269</v>
      </c>
      <c r="F13" s="73" t="s">
        <v>269</v>
      </c>
      <c r="G13" s="73" t="s">
        <v>269</v>
      </c>
    </row>
    <row r="14" spans="1:7">
      <c r="A14" s="73" t="s">
        <v>269</v>
      </c>
      <c r="B14" s="73" t="s">
        <v>327</v>
      </c>
      <c r="C14" s="73" t="s">
        <v>269</v>
      </c>
      <c r="D14" s="73" t="s">
        <v>269</v>
      </c>
      <c r="E14" s="73" t="s">
        <v>269</v>
      </c>
      <c r="F14" s="73" t="s">
        <v>269</v>
      </c>
      <c r="G14" s="73" t="s">
        <v>269</v>
      </c>
    </row>
    <row r="15" spans="1:7">
      <c r="A15" s="73" t="s">
        <v>269</v>
      </c>
      <c r="B15" s="73" t="s">
        <v>327</v>
      </c>
      <c r="C15" s="73" t="s">
        <v>269</v>
      </c>
      <c r="D15" s="73" t="s">
        <v>269</v>
      </c>
      <c r="E15" s="73" t="s">
        <v>269</v>
      </c>
      <c r="F15" s="73" t="s">
        <v>269</v>
      </c>
      <c r="G15" s="73" t="s">
        <v>269</v>
      </c>
    </row>
    <row r="16" spans="1:7">
      <c r="A16" s="73" t="s">
        <v>269</v>
      </c>
      <c r="B16" s="73" t="s">
        <v>327</v>
      </c>
      <c r="C16" s="73" t="s">
        <v>269</v>
      </c>
      <c r="D16" s="73" t="s">
        <v>269</v>
      </c>
      <c r="E16" s="73" t="s">
        <v>269</v>
      </c>
      <c r="F16" s="73" t="s">
        <v>269</v>
      </c>
      <c r="G16" s="73" t="s">
        <v>269</v>
      </c>
    </row>
    <row r="17" spans="1:7">
      <c r="A17" s="73" t="s">
        <v>269</v>
      </c>
      <c r="B17" s="73" t="s">
        <v>327</v>
      </c>
      <c r="C17" s="73" t="s">
        <v>269</v>
      </c>
      <c r="D17" s="73" t="s">
        <v>269</v>
      </c>
      <c r="E17" s="73" t="s">
        <v>269</v>
      </c>
      <c r="F17" s="73" t="s">
        <v>269</v>
      </c>
      <c r="G17" s="73" t="s">
        <v>269</v>
      </c>
    </row>
    <row r="18" spans="1:7">
      <c r="A18" s="73" t="s">
        <v>269</v>
      </c>
      <c r="B18" s="73" t="s">
        <v>327</v>
      </c>
      <c r="C18" s="73" t="s">
        <v>269</v>
      </c>
      <c r="D18" s="73" t="s">
        <v>269</v>
      </c>
      <c r="E18" s="73" t="s">
        <v>269</v>
      </c>
      <c r="F18" s="73" t="s">
        <v>269</v>
      </c>
      <c r="G18" s="73" t="s">
        <v>269</v>
      </c>
    </row>
    <row r="19" spans="1:7">
      <c r="A19" s="73" t="s">
        <v>269</v>
      </c>
      <c r="B19" s="73" t="s">
        <v>327</v>
      </c>
      <c r="C19" s="73" t="s">
        <v>269</v>
      </c>
      <c r="D19" s="73" t="s">
        <v>269</v>
      </c>
      <c r="E19" s="73" t="s">
        <v>269</v>
      </c>
      <c r="F19" s="73" t="s">
        <v>269</v>
      </c>
      <c r="G19" s="73" t="s">
        <v>269</v>
      </c>
    </row>
    <row r="20" spans="1:7">
      <c r="A20" s="73" t="s">
        <v>269</v>
      </c>
      <c r="B20" s="73" t="s">
        <v>327</v>
      </c>
      <c r="C20" s="73" t="s">
        <v>269</v>
      </c>
      <c r="D20" s="73" t="s">
        <v>269</v>
      </c>
      <c r="E20" s="73" t="s">
        <v>269</v>
      </c>
      <c r="F20" s="73" t="s">
        <v>269</v>
      </c>
      <c r="G20" s="73" t="s">
        <v>269</v>
      </c>
    </row>
    <row r="21" spans="1:7">
      <c r="A21" s="73" t="s">
        <v>269</v>
      </c>
      <c r="B21" s="73" t="s">
        <v>327</v>
      </c>
      <c r="C21" s="73" t="s">
        <v>269</v>
      </c>
      <c r="D21" s="73" t="s">
        <v>269</v>
      </c>
      <c r="E21" s="73" t="s">
        <v>269</v>
      </c>
      <c r="F21" s="73" t="s">
        <v>269</v>
      </c>
      <c r="G21" s="73" t="s">
        <v>269</v>
      </c>
    </row>
    <row r="22" spans="1:7">
      <c r="A22" s="73" t="s">
        <v>269</v>
      </c>
      <c r="B22" s="73" t="s">
        <v>327</v>
      </c>
      <c r="C22" s="73" t="s">
        <v>269</v>
      </c>
      <c r="D22" s="73" t="s">
        <v>269</v>
      </c>
      <c r="E22" s="73" t="s">
        <v>269</v>
      </c>
      <c r="F22" s="73" t="s">
        <v>269</v>
      </c>
      <c r="G22" s="73" t="s">
        <v>269</v>
      </c>
    </row>
    <row r="23" spans="1:7">
      <c r="A23" s="73" t="s">
        <v>269</v>
      </c>
      <c r="B23" s="73" t="s">
        <v>327</v>
      </c>
      <c r="C23" s="73" t="s">
        <v>269</v>
      </c>
      <c r="D23" s="73" t="s">
        <v>269</v>
      </c>
      <c r="E23" s="73" t="s">
        <v>269</v>
      </c>
      <c r="F23" s="73" t="s">
        <v>269</v>
      </c>
      <c r="G23" s="73" t="s">
        <v>269</v>
      </c>
    </row>
    <row r="24" spans="1:7">
      <c r="A24" s="73" t="s">
        <v>269</v>
      </c>
      <c r="B24" s="73" t="s">
        <v>327</v>
      </c>
      <c r="C24" s="73" t="s">
        <v>269</v>
      </c>
      <c r="D24" s="73" t="s">
        <v>269</v>
      </c>
      <c r="E24" s="73" t="s">
        <v>269</v>
      </c>
      <c r="F24" s="73" t="s">
        <v>269</v>
      </c>
      <c r="G24" s="73" t="s">
        <v>269</v>
      </c>
    </row>
    <row r="25" spans="1:7">
      <c r="A25" s="73" t="s">
        <v>269</v>
      </c>
      <c r="B25" s="73" t="s">
        <v>327</v>
      </c>
      <c r="C25" s="73" t="s">
        <v>269</v>
      </c>
      <c r="D25" s="73" t="s">
        <v>269</v>
      </c>
      <c r="E25" s="73" t="s">
        <v>269</v>
      </c>
      <c r="F25" s="73" t="s">
        <v>269</v>
      </c>
      <c r="G25" s="73" t="s">
        <v>269</v>
      </c>
    </row>
    <row r="26" spans="1:7">
      <c r="A26" s="73" t="s">
        <v>269</v>
      </c>
      <c r="B26" s="73" t="s">
        <v>327</v>
      </c>
      <c r="C26" s="73" t="s">
        <v>269</v>
      </c>
      <c r="D26" s="73" t="s">
        <v>269</v>
      </c>
      <c r="E26" s="73" t="s">
        <v>269</v>
      </c>
      <c r="F26" s="73" t="s">
        <v>269</v>
      </c>
      <c r="G26" s="73" t="s">
        <v>269</v>
      </c>
    </row>
    <row r="27" spans="1:7">
      <c r="A27" s="73" t="s">
        <v>269</v>
      </c>
      <c r="B27" s="73" t="s">
        <v>327</v>
      </c>
      <c r="C27" s="73" t="s">
        <v>269</v>
      </c>
      <c r="D27" s="73" t="s">
        <v>269</v>
      </c>
      <c r="E27" s="73" t="s">
        <v>269</v>
      </c>
      <c r="F27" s="73" t="s">
        <v>269</v>
      </c>
      <c r="G27" s="73" t="s">
        <v>269</v>
      </c>
    </row>
    <row r="28" spans="1:7">
      <c r="A28" s="73" t="s">
        <v>269</v>
      </c>
      <c r="B28" s="73" t="s">
        <v>327</v>
      </c>
      <c r="C28" s="73" t="s">
        <v>269</v>
      </c>
      <c r="D28" s="73" t="s">
        <v>269</v>
      </c>
      <c r="E28" s="73" t="s">
        <v>269</v>
      </c>
      <c r="F28" s="73" t="s">
        <v>269</v>
      </c>
      <c r="G28" s="73" t="s">
        <v>269</v>
      </c>
    </row>
    <row r="29" spans="1:7">
      <c r="A29" s="73" t="s">
        <v>269</v>
      </c>
      <c r="B29" s="73" t="s">
        <v>327</v>
      </c>
      <c r="C29" s="73" t="s">
        <v>269</v>
      </c>
      <c r="D29" s="73" t="s">
        <v>269</v>
      </c>
      <c r="E29" s="73" t="s">
        <v>269</v>
      </c>
      <c r="F29" s="73" t="s">
        <v>269</v>
      </c>
      <c r="G29" s="73" t="s">
        <v>269</v>
      </c>
    </row>
    <row r="30" spans="1:7">
      <c r="A30" s="73" t="s">
        <v>269</v>
      </c>
      <c r="B30" s="73" t="s">
        <v>327</v>
      </c>
      <c r="C30" s="73" t="s">
        <v>269</v>
      </c>
      <c r="D30" s="73" t="s">
        <v>269</v>
      </c>
      <c r="E30" s="73" t="s">
        <v>269</v>
      </c>
      <c r="F30" s="73" t="s">
        <v>269</v>
      </c>
      <c r="G30" s="73" t="s">
        <v>269</v>
      </c>
    </row>
    <row r="31" spans="1:7">
      <c r="A31" s="73" t="s">
        <v>269</v>
      </c>
      <c r="B31" s="73" t="s">
        <v>327</v>
      </c>
      <c r="C31" s="73" t="s">
        <v>269</v>
      </c>
      <c r="D31" s="73" t="s">
        <v>269</v>
      </c>
      <c r="E31" s="73" t="s">
        <v>269</v>
      </c>
      <c r="F31" s="73" t="s">
        <v>269</v>
      </c>
      <c r="G31" s="73" t="s">
        <v>269</v>
      </c>
    </row>
    <row r="32" spans="1:7">
      <c r="A32" s="73" t="s">
        <v>269</v>
      </c>
      <c r="B32" s="73" t="s">
        <v>327</v>
      </c>
      <c r="C32" s="73" t="s">
        <v>269</v>
      </c>
      <c r="D32" s="73" t="s">
        <v>269</v>
      </c>
      <c r="E32" s="73" t="s">
        <v>269</v>
      </c>
      <c r="F32" s="73" t="s">
        <v>269</v>
      </c>
      <c r="G32" s="73" t="s">
        <v>269</v>
      </c>
    </row>
    <row r="33" spans="1:7">
      <c r="A33" s="73" t="s">
        <v>269</v>
      </c>
      <c r="B33" s="73" t="s">
        <v>327</v>
      </c>
      <c r="C33" s="73" t="s">
        <v>269</v>
      </c>
      <c r="D33" s="73" t="s">
        <v>269</v>
      </c>
      <c r="E33" s="73" t="s">
        <v>269</v>
      </c>
      <c r="F33" s="73" t="s">
        <v>269</v>
      </c>
      <c r="G33" s="73" t="s">
        <v>269</v>
      </c>
    </row>
    <row r="34" spans="1:7">
      <c r="A34" s="73" t="s">
        <v>269</v>
      </c>
      <c r="B34" s="73" t="s">
        <v>327</v>
      </c>
      <c r="C34" s="73" t="s">
        <v>269</v>
      </c>
      <c r="D34" s="73" t="s">
        <v>269</v>
      </c>
      <c r="E34" s="73" t="s">
        <v>269</v>
      </c>
      <c r="F34" s="73" t="s">
        <v>269</v>
      </c>
      <c r="G34" s="73" t="s">
        <v>269</v>
      </c>
    </row>
    <row r="35" spans="1:7">
      <c r="A35" s="73" t="s">
        <v>269</v>
      </c>
      <c r="B35" s="73" t="s">
        <v>327</v>
      </c>
      <c r="C35" s="73" t="s">
        <v>269</v>
      </c>
      <c r="D35" s="73" t="s">
        <v>269</v>
      </c>
      <c r="E35" s="73" t="s">
        <v>269</v>
      </c>
      <c r="F35" s="73" t="s">
        <v>269</v>
      </c>
      <c r="G35" s="73" t="s">
        <v>269</v>
      </c>
    </row>
    <row r="36" spans="1:7">
      <c r="A36" s="73" t="s">
        <v>269</v>
      </c>
      <c r="B36" s="73" t="s">
        <v>327</v>
      </c>
      <c r="C36" s="73" t="s">
        <v>269</v>
      </c>
      <c r="D36" s="73" t="s">
        <v>269</v>
      </c>
      <c r="E36" s="73" t="s">
        <v>269</v>
      </c>
      <c r="F36" s="73" t="s">
        <v>269</v>
      </c>
      <c r="G36" s="73" t="s">
        <v>269</v>
      </c>
    </row>
    <row r="37" spans="1:7">
      <c r="A37" s="73" t="s">
        <v>269</v>
      </c>
      <c r="B37" s="73" t="s">
        <v>327</v>
      </c>
      <c r="C37" s="73" t="s">
        <v>269</v>
      </c>
      <c r="D37" s="73" t="s">
        <v>269</v>
      </c>
      <c r="E37" s="73" t="s">
        <v>269</v>
      </c>
      <c r="F37" s="73" t="s">
        <v>269</v>
      </c>
      <c r="G37" s="73" t="s">
        <v>269</v>
      </c>
    </row>
    <row r="38" spans="1:7">
      <c r="A38" s="73" t="s">
        <v>269</v>
      </c>
      <c r="B38" s="73" t="s">
        <v>327</v>
      </c>
      <c r="C38" s="73" t="s">
        <v>269</v>
      </c>
      <c r="D38" s="73" t="s">
        <v>269</v>
      </c>
      <c r="E38" s="73" t="s">
        <v>269</v>
      </c>
      <c r="F38" s="73" t="s">
        <v>269</v>
      </c>
      <c r="G38" s="73" t="s">
        <v>269</v>
      </c>
    </row>
    <row r="39" spans="1:7">
      <c r="A39" s="73" t="s">
        <v>269</v>
      </c>
      <c r="B39" s="73" t="s">
        <v>327</v>
      </c>
      <c r="C39" s="73" t="s">
        <v>269</v>
      </c>
      <c r="D39" s="73" t="s">
        <v>269</v>
      </c>
      <c r="E39" s="73" t="s">
        <v>269</v>
      </c>
      <c r="F39" s="73" t="s">
        <v>269</v>
      </c>
      <c r="G39" s="73" t="s">
        <v>269</v>
      </c>
    </row>
    <row r="40" spans="1:7">
      <c r="A40" s="73" t="s">
        <v>269</v>
      </c>
      <c r="B40" s="73" t="s">
        <v>327</v>
      </c>
      <c r="C40" s="73" t="s">
        <v>269</v>
      </c>
      <c r="D40" s="73" t="s">
        <v>269</v>
      </c>
      <c r="E40" s="73" t="s">
        <v>269</v>
      </c>
      <c r="F40" s="73" t="s">
        <v>269</v>
      </c>
      <c r="G40" s="73" t="s">
        <v>269</v>
      </c>
    </row>
    <row r="41" spans="1:7">
      <c r="A41" s="73" t="s">
        <v>269</v>
      </c>
      <c r="B41" s="73" t="s">
        <v>327</v>
      </c>
      <c r="C41" s="73" t="s">
        <v>269</v>
      </c>
      <c r="D41" s="73" t="s">
        <v>269</v>
      </c>
      <c r="E41" s="73" t="s">
        <v>269</v>
      </c>
      <c r="F41" s="73" t="s">
        <v>269</v>
      </c>
      <c r="G41" s="73" t="s">
        <v>269</v>
      </c>
    </row>
    <row r="42" spans="1:7">
      <c r="A42" s="73" t="s">
        <v>269</v>
      </c>
      <c r="B42" s="73" t="s">
        <v>327</v>
      </c>
      <c r="C42" s="73" t="s">
        <v>269</v>
      </c>
      <c r="D42" s="73" t="s">
        <v>269</v>
      </c>
      <c r="E42" s="73" t="s">
        <v>269</v>
      </c>
      <c r="F42" s="73" t="s">
        <v>269</v>
      </c>
      <c r="G42" s="73" t="s">
        <v>269</v>
      </c>
    </row>
    <row r="43" spans="1:7">
      <c r="A43" s="73" t="s">
        <v>269</v>
      </c>
      <c r="B43" s="73" t="s">
        <v>327</v>
      </c>
      <c r="C43" s="73" t="s">
        <v>269</v>
      </c>
      <c r="D43" s="73" t="s">
        <v>269</v>
      </c>
      <c r="E43" s="73" t="s">
        <v>269</v>
      </c>
      <c r="F43" s="73" t="s">
        <v>269</v>
      </c>
      <c r="G43" s="73" t="s">
        <v>269</v>
      </c>
    </row>
    <row r="44" spans="1:7">
      <c r="A44" s="73" t="s">
        <v>269</v>
      </c>
      <c r="B44" s="73" t="s">
        <v>327</v>
      </c>
      <c r="C44" s="73" t="s">
        <v>269</v>
      </c>
      <c r="D44" s="73" t="s">
        <v>269</v>
      </c>
      <c r="E44" s="73" t="s">
        <v>269</v>
      </c>
      <c r="F44" s="73" t="s">
        <v>269</v>
      </c>
      <c r="G44" s="73" t="s">
        <v>269</v>
      </c>
    </row>
    <row r="45" spans="1:7">
      <c r="A45" s="73" t="s">
        <v>269</v>
      </c>
      <c r="B45" s="73" t="s">
        <v>327</v>
      </c>
      <c r="C45" s="73" t="s">
        <v>269</v>
      </c>
      <c r="D45" s="73" t="s">
        <v>269</v>
      </c>
      <c r="E45" s="73" t="s">
        <v>269</v>
      </c>
      <c r="F45" s="73" t="s">
        <v>269</v>
      </c>
      <c r="G45" s="73" t="s">
        <v>269</v>
      </c>
    </row>
    <row r="46" spans="1:7">
      <c r="A46" s="73" t="s">
        <v>269</v>
      </c>
      <c r="B46" s="73" t="s">
        <v>327</v>
      </c>
      <c r="C46" s="73" t="s">
        <v>269</v>
      </c>
      <c r="D46" s="73" t="s">
        <v>269</v>
      </c>
      <c r="E46" s="73" t="s">
        <v>269</v>
      </c>
      <c r="F46" s="73" t="s">
        <v>269</v>
      </c>
      <c r="G46" s="73" t="s">
        <v>269</v>
      </c>
    </row>
    <row r="47" spans="1:7">
      <c r="A47" s="73" t="s">
        <v>269</v>
      </c>
      <c r="B47" s="73" t="s">
        <v>327</v>
      </c>
      <c r="C47" s="73" t="s">
        <v>269</v>
      </c>
      <c r="D47" s="73" t="s">
        <v>269</v>
      </c>
      <c r="E47" s="73" t="s">
        <v>269</v>
      </c>
      <c r="F47" s="73" t="s">
        <v>269</v>
      </c>
      <c r="G47" s="73" t="s">
        <v>269</v>
      </c>
    </row>
    <row r="48" spans="1:7">
      <c r="A48" s="73" t="s">
        <v>269</v>
      </c>
      <c r="B48" s="73" t="s">
        <v>327</v>
      </c>
      <c r="C48" s="73" t="s">
        <v>269</v>
      </c>
      <c r="D48" s="73" t="s">
        <v>269</v>
      </c>
      <c r="E48" s="73" t="s">
        <v>269</v>
      </c>
      <c r="F48" s="73" t="s">
        <v>269</v>
      </c>
      <c r="G48" s="73" t="s">
        <v>269</v>
      </c>
    </row>
    <row r="49" spans="1:7">
      <c r="A49" s="73" t="s">
        <v>269</v>
      </c>
      <c r="B49" s="73" t="s">
        <v>327</v>
      </c>
      <c r="C49" s="73" t="s">
        <v>269</v>
      </c>
      <c r="D49" s="73" t="s">
        <v>269</v>
      </c>
      <c r="E49" s="73" t="s">
        <v>269</v>
      </c>
      <c r="F49" s="73" t="s">
        <v>269</v>
      </c>
      <c r="G49" s="73" t="s">
        <v>269</v>
      </c>
    </row>
    <row r="50" spans="1:7">
      <c r="A50" s="73" t="s">
        <v>269</v>
      </c>
      <c r="B50" s="73" t="s">
        <v>327</v>
      </c>
      <c r="C50" s="73" t="s">
        <v>269</v>
      </c>
      <c r="D50" s="73" t="s">
        <v>269</v>
      </c>
      <c r="E50" s="73" t="s">
        <v>269</v>
      </c>
      <c r="F50" s="73" t="s">
        <v>269</v>
      </c>
      <c r="G50" s="73" t="s">
        <v>269</v>
      </c>
    </row>
    <row r="51" spans="1:7">
      <c r="A51" s="73" t="s">
        <v>269</v>
      </c>
      <c r="B51" s="73" t="s">
        <v>327</v>
      </c>
      <c r="C51" s="73" t="s">
        <v>269</v>
      </c>
      <c r="D51" s="73" t="s">
        <v>269</v>
      </c>
      <c r="E51" s="73" t="s">
        <v>269</v>
      </c>
      <c r="F51" s="73" t="s">
        <v>269</v>
      </c>
      <c r="G51" s="73" t="s">
        <v>269</v>
      </c>
    </row>
    <row r="52" spans="1:7">
      <c r="A52" s="73" t="s">
        <v>269</v>
      </c>
      <c r="B52" s="73" t="s">
        <v>327</v>
      </c>
      <c r="C52" s="73" t="s">
        <v>269</v>
      </c>
      <c r="D52" s="73" t="s">
        <v>269</v>
      </c>
      <c r="E52" s="73" t="s">
        <v>269</v>
      </c>
      <c r="F52" s="73" t="s">
        <v>269</v>
      </c>
      <c r="G52" s="73" t="s">
        <v>269</v>
      </c>
    </row>
    <row r="53" spans="1:7">
      <c r="A53" s="73" t="s">
        <v>269</v>
      </c>
      <c r="B53" s="73" t="s">
        <v>327</v>
      </c>
      <c r="C53" s="73" t="s">
        <v>269</v>
      </c>
      <c r="D53" s="73" t="s">
        <v>269</v>
      </c>
      <c r="E53" s="73" t="s">
        <v>269</v>
      </c>
      <c r="F53" s="73" t="s">
        <v>269</v>
      </c>
      <c r="G53" s="73" t="s">
        <v>269</v>
      </c>
    </row>
    <row r="54" spans="1:7">
      <c r="A54" s="73" t="s">
        <v>269</v>
      </c>
      <c r="B54" s="73" t="s">
        <v>327</v>
      </c>
      <c r="C54" s="73" t="s">
        <v>269</v>
      </c>
      <c r="D54" s="73" t="s">
        <v>269</v>
      </c>
      <c r="E54" s="73" t="s">
        <v>269</v>
      </c>
      <c r="F54" s="73" t="s">
        <v>269</v>
      </c>
      <c r="G54" s="73" t="s">
        <v>269</v>
      </c>
    </row>
    <row r="55" spans="1:7">
      <c r="A55" s="73" t="s">
        <v>269</v>
      </c>
      <c r="B55" s="73" t="s">
        <v>327</v>
      </c>
      <c r="C55" s="73" t="s">
        <v>269</v>
      </c>
      <c r="D55" s="73" t="s">
        <v>269</v>
      </c>
      <c r="E55" s="73" t="s">
        <v>269</v>
      </c>
      <c r="F55" s="73" t="s">
        <v>269</v>
      </c>
      <c r="G55" s="73" t="s">
        <v>269</v>
      </c>
    </row>
    <row r="56" spans="1:7">
      <c r="A56" s="73" t="s">
        <v>269</v>
      </c>
      <c r="B56" s="73" t="s">
        <v>327</v>
      </c>
      <c r="C56" s="73" t="s">
        <v>269</v>
      </c>
      <c r="D56" s="73" t="s">
        <v>269</v>
      </c>
      <c r="E56" s="73" t="s">
        <v>269</v>
      </c>
      <c r="F56" s="73" t="s">
        <v>269</v>
      </c>
      <c r="G56" s="73" t="s">
        <v>269</v>
      </c>
    </row>
    <row r="57" spans="1:7">
      <c r="A57" s="73" t="s">
        <v>269</v>
      </c>
      <c r="B57" s="73" t="s">
        <v>327</v>
      </c>
      <c r="C57" s="73" t="s">
        <v>269</v>
      </c>
      <c r="D57" s="73" t="s">
        <v>269</v>
      </c>
      <c r="E57" s="73" t="s">
        <v>269</v>
      </c>
      <c r="F57" s="73" t="s">
        <v>269</v>
      </c>
      <c r="G57" s="73" t="s">
        <v>269</v>
      </c>
    </row>
    <row r="58" spans="1:7">
      <c r="A58" s="73" t="s">
        <v>269</v>
      </c>
      <c r="B58" s="73" t="s">
        <v>327</v>
      </c>
      <c r="C58" s="73" t="s">
        <v>269</v>
      </c>
      <c r="D58" s="73" t="s">
        <v>269</v>
      </c>
      <c r="E58" s="73" t="s">
        <v>269</v>
      </c>
      <c r="F58" s="73" t="s">
        <v>269</v>
      </c>
      <c r="G58" s="73" t="s">
        <v>269</v>
      </c>
    </row>
    <row r="59" spans="1:7">
      <c r="A59" s="73" t="s">
        <v>269</v>
      </c>
      <c r="B59" s="73" t="s">
        <v>327</v>
      </c>
      <c r="C59" s="73" t="s">
        <v>269</v>
      </c>
      <c r="D59" s="73" t="s">
        <v>269</v>
      </c>
      <c r="E59" s="73" t="s">
        <v>269</v>
      </c>
      <c r="F59" s="73" t="s">
        <v>269</v>
      </c>
      <c r="G59" s="73" t="s">
        <v>269</v>
      </c>
    </row>
    <row r="60" spans="1:7">
      <c r="A60" s="73" t="s">
        <v>269</v>
      </c>
      <c r="B60" s="73" t="s">
        <v>327</v>
      </c>
      <c r="C60" s="73" t="s">
        <v>269</v>
      </c>
      <c r="D60" s="73" t="s">
        <v>269</v>
      </c>
      <c r="E60" s="73" t="s">
        <v>269</v>
      </c>
      <c r="F60" s="73" t="s">
        <v>269</v>
      </c>
      <c r="G60" s="73" t="s">
        <v>269</v>
      </c>
    </row>
    <row r="61" spans="1:7">
      <c r="B61" s="73" t="s">
        <v>327</v>
      </c>
    </row>
    <row r="62" spans="1:7">
      <c r="B62" s="73" t="s">
        <v>327</v>
      </c>
    </row>
    <row r="63" spans="1:7">
      <c r="B63" s="73" t="s">
        <v>327</v>
      </c>
    </row>
    <row r="64" spans="1:7">
      <c r="B64" s="73" t="s">
        <v>327</v>
      </c>
    </row>
    <row r="65" spans="2:2">
      <c r="B65" s="73" t="s">
        <v>327</v>
      </c>
    </row>
    <row r="66" spans="2:2">
      <c r="B66" s="73" t="s">
        <v>327</v>
      </c>
    </row>
    <row r="67" spans="2:2">
      <c r="B67" s="73" t="s">
        <v>327</v>
      </c>
    </row>
    <row r="68" spans="2:2">
      <c r="B68" s="73" t="s">
        <v>327</v>
      </c>
    </row>
    <row r="69" spans="2:2">
      <c r="B69" s="73" t="s">
        <v>327</v>
      </c>
    </row>
    <row r="70" spans="2:2">
      <c r="B70" s="73" t="s">
        <v>327</v>
      </c>
    </row>
    <row r="71" spans="2:2">
      <c r="B71" s="73" t="s">
        <v>327</v>
      </c>
    </row>
    <row r="72" spans="2:2">
      <c r="B72" s="73" t="s">
        <v>327</v>
      </c>
    </row>
    <row r="73" spans="2:2">
      <c r="B73" s="73" t="s">
        <v>327</v>
      </c>
    </row>
    <row r="74" spans="2:2">
      <c r="B74" s="73" t="s">
        <v>327</v>
      </c>
    </row>
    <row r="75" spans="2:2">
      <c r="B75" s="73" t="s">
        <v>327</v>
      </c>
    </row>
    <row r="76" spans="2:2">
      <c r="B76" s="73" t="s">
        <v>327</v>
      </c>
    </row>
    <row r="77" spans="2:2">
      <c r="B77" s="73" t="s">
        <v>327</v>
      </c>
    </row>
    <row r="78" spans="2:2">
      <c r="B78" s="73" t="s">
        <v>327</v>
      </c>
    </row>
    <row r="79" spans="2:2">
      <c r="B79" s="73" t="s">
        <v>327</v>
      </c>
    </row>
    <row r="80" spans="2:2">
      <c r="B80" s="73" t="s">
        <v>327</v>
      </c>
    </row>
    <row r="81" spans="2:2">
      <c r="B81" s="73" t="s">
        <v>327</v>
      </c>
    </row>
    <row r="82" spans="2:2">
      <c r="B82" s="73" t="s">
        <v>327</v>
      </c>
    </row>
    <row r="83" spans="2:2">
      <c r="B83" s="73" t="s">
        <v>327</v>
      </c>
    </row>
    <row r="84" spans="2:2">
      <c r="B84" s="73" t="s">
        <v>327</v>
      </c>
    </row>
    <row r="85" spans="2:2">
      <c r="B85" s="73" t="s">
        <v>327</v>
      </c>
    </row>
    <row r="86" spans="2:2">
      <c r="B86" s="73" t="s">
        <v>327</v>
      </c>
    </row>
    <row r="87" spans="2:2">
      <c r="B87" s="73" t="s">
        <v>327</v>
      </c>
    </row>
    <row r="88" spans="2:2">
      <c r="B88" s="73" t="s">
        <v>327</v>
      </c>
    </row>
    <row r="89" spans="2:2">
      <c r="B89" s="73" t="s">
        <v>327</v>
      </c>
    </row>
    <row r="90" spans="2:2">
      <c r="B90" s="73" t="s">
        <v>327</v>
      </c>
    </row>
    <row r="91" spans="2:2">
      <c r="B91" s="73" t="s">
        <v>327</v>
      </c>
    </row>
    <row r="92" spans="2:2">
      <c r="B92" s="73" t="s">
        <v>327</v>
      </c>
    </row>
    <row r="93" spans="2:2">
      <c r="B93" s="73" t="s">
        <v>327</v>
      </c>
    </row>
    <row r="94" spans="2:2">
      <c r="B94" s="73" t="s">
        <v>327</v>
      </c>
    </row>
    <row r="95" spans="2:2">
      <c r="B95" s="73" t="s">
        <v>327</v>
      </c>
    </row>
    <row r="96" spans="2:2">
      <c r="B96" s="73" t="s">
        <v>327</v>
      </c>
    </row>
    <row r="97" spans="2:2">
      <c r="B97" s="73" t="s">
        <v>327</v>
      </c>
    </row>
    <row r="98" spans="2:2">
      <c r="B98" s="73" t="s">
        <v>327</v>
      </c>
    </row>
    <row r="99" spans="2:2">
      <c r="B99" s="73" t="s">
        <v>327</v>
      </c>
    </row>
    <row r="100" spans="2:2">
      <c r="B100" s="73" t="s">
        <v>327</v>
      </c>
    </row>
    <row r="101" spans="2:2">
      <c r="B101" s="73" t="s">
        <v>327</v>
      </c>
    </row>
    <row r="102" spans="2:2">
      <c r="B102" s="73" t="s">
        <v>327</v>
      </c>
    </row>
    <row r="103" spans="2:2">
      <c r="B103" s="73" t="s">
        <v>327</v>
      </c>
    </row>
    <row r="104" spans="2:2">
      <c r="B104" s="73" t="s">
        <v>327</v>
      </c>
    </row>
    <row r="105" spans="2:2">
      <c r="B105" s="73" t="s">
        <v>327</v>
      </c>
    </row>
    <row r="106" spans="2:2">
      <c r="B106" s="73" t="s">
        <v>327</v>
      </c>
    </row>
    <row r="107" spans="2:2">
      <c r="B107" s="73" t="s">
        <v>327</v>
      </c>
    </row>
    <row r="108" spans="2:2">
      <c r="B108" s="73" t="s">
        <v>327</v>
      </c>
    </row>
    <row r="109" spans="2:2">
      <c r="B109" s="73" t="s">
        <v>327</v>
      </c>
    </row>
    <row r="110" spans="2:2">
      <c r="B110" s="73" t="s">
        <v>327</v>
      </c>
    </row>
    <row r="111" spans="2:2">
      <c r="B111" s="73" t="s">
        <v>327</v>
      </c>
    </row>
    <row r="112" spans="2:2">
      <c r="B112" s="73" t="s">
        <v>327</v>
      </c>
    </row>
    <row r="113" spans="2:2">
      <c r="B113" s="73" t="s">
        <v>327</v>
      </c>
    </row>
    <row r="114" spans="2:2">
      <c r="B114" s="73" t="s">
        <v>327</v>
      </c>
    </row>
    <row r="115" spans="2:2">
      <c r="B115" s="73" t="s">
        <v>327</v>
      </c>
    </row>
    <row r="116" spans="2:2">
      <c r="B116" s="73" t="s">
        <v>327</v>
      </c>
    </row>
    <row r="117" spans="2:2">
      <c r="B117" s="73" t="s">
        <v>327</v>
      </c>
    </row>
    <row r="118" spans="2:2">
      <c r="B118" s="73" t="s">
        <v>327</v>
      </c>
    </row>
    <row r="119" spans="2:2">
      <c r="B119" s="73" t="s">
        <v>327</v>
      </c>
    </row>
    <row r="120" spans="2:2">
      <c r="B120" s="73" t="s">
        <v>327</v>
      </c>
    </row>
    <row r="121" spans="2:2">
      <c r="B121" s="73" t="s">
        <v>327</v>
      </c>
    </row>
    <row r="122" spans="2:2">
      <c r="B122" s="73" t="s">
        <v>327</v>
      </c>
    </row>
    <row r="123" spans="2:2">
      <c r="B123" s="73" t="s">
        <v>327</v>
      </c>
    </row>
    <row r="124" spans="2:2">
      <c r="B124" s="73" t="s">
        <v>327</v>
      </c>
    </row>
    <row r="125" spans="2:2">
      <c r="B125" s="73" t="s">
        <v>327</v>
      </c>
    </row>
    <row r="126" spans="2:2">
      <c r="B126" s="73" t="s">
        <v>327</v>
      </c>
    </row>
    <row r="127" spans="2:2">
      <c r="B127" s="73" t="s">
        <v>327</v>
      </c>
    </row>
    <row r="128" spans="2:2">
      <c r="B128" s="73" t="s">
        <v>327</v>
      </c>
    </row>
    <row r="129" spans="2:2">
      <c r="B129" s="73" t="s">
        <v>327</v>
      </c>
    </row>
    <row r="130" spans="2:2">
      <c r="B130" s="73" t="s">
        <v>327</v>
      </c>
    </row>
    <row r="131" spans="2:2">
      <c r="B131" s="73" t="s">
        <v>327</v>
      </c>
    </row>
    <row r="132" spans="2:2">
      <c r="B132" s="73" t="s">
        <v>327</v>
      </c>
    </row>
    <row r="133" spans="2:2">
      <c r="B133" s="73" t="s">
        <v>327</v>
      </c>
    </row>
    <row r="134" spans="2:2">
      <c r="B134" s="73" t="s">
        <v>327</v>
      </c>
    </row>
    <row r="135" spans="2:2">
      <c r="B135" s="73" t="s">
        <v>327</v>
      </c>
    </row>
    <row r="136" spans="2:2">
      <c r="B136" s="73" t="s">
        <v>327</v>
      </c>
    </row>
    <row r="137" spans="2:2">
      <c r="B137" s="73" t="s">
        <v>327</v>
      </c>
    </row>
    <row r="138" spans="2:2">
      <c r="B138" s="73" t="s">
        <v>327</v>
      </c>
    </row>
    <row r="139" spans="2:2">
      <c r="B139" s="73" t="s">
        <v>327</v>
      </c>
    </row>
    <row r="140" spans="2:2">
      <c r="B140" s="73" t="s">
        <v>327</v>
      </c>
    </row>
    <row r="141" spans="2:2">
      <c r="B141" s="73" t="s">
        <v>327</v>
      </c>
    </row>
    <row r="142" spans="2:2">
      <c r="B142" s="73" t="s">
        <v>327</v>
      </c>
    </row>
    <row r="143" spans="2:2">
      <c r="B143" s="73" t="s">
        <v>327</v>
      </c>
    </row>
    <row r="144" spans="2:2">
      <c r="B144" s="73" t="s">
        <v>327</v>
      </c>
    </row>
    <row r="145" spans="2:2">
      <c r="B145" s="73" t="s">
        <v>327</v>
      </c>
    </row>
    <row r="146" spans="2:2">
      <c r="B146" s="73" t="s">
        <v>327</v>
      </c>
    </row>
    <row r="147" spans="2:2">
      <c r="B147" s="73" t="s">
        <v>327</v>
      </c>
    </row>
    <row r="148" spans="2:2">
      <c r="B148" s="73" t="s">
        <v>327</v>
      </c>
    </row>
    <row r="149" spans="2:2">
      <c r="B149" s="73" t="s">
        <v>327</v>
      </c>
    </row>
    <row r="150" spans="2:2">
      <c r="B150" s="73" t="s">
        <v>327</v>
      </c>
    </row>
    <row r="151" spans="2:2">
      <c r="B151" s="73" t="s">
        <v>327</v>
      </c>
    </row>
    <row r="152" spans="2:2">
      <c r="B152" s="73" t="s">
        <v>327</v>
      </c>
    </row>
    <row r="153" spans="2:2">
      <c r="B153" s="73" t="s">
        <v>327</v>
      </c>
    </row>
    <row r="154" spans="2:2">
      <c r="B154" s="73" t="s">
        <v>327</v>
      </c>
    </row>
    <row r="155" spans="2:2">
      <c r="B155" s="73" t="s">
        <v>327</v>
      </c>
    </row>
    <row r="156" spans="2:2">
      <c r="B156" s="73" t="s">
        <v>327</v>
      </c>
    </row>
    <row r="157" spans="2:2">
      <c r="B157" s="73" t="s">
        <v>327</v>
      </c>
    </row>
    <row r="158" spans="2:2">
      <c r="B158" s="73" t="s">
        <v>327</v>
      </c>
    </row>
    <row r="159" spans="2:2">
      <c r="B159" s="73" t="s">
        <v>327</v>
      </c>
    </row>
    <row r="160" spans="2:2">
      <c r="B160" s="73" t="s">
        <v>327</v>
      </c>
    </row>
    <row r="161" spans="2:2">
      <c r="B161" s="73" t="s">
        <v>327</v>
      </c>
    </row>
    <row r="162" spans="2:2">
      <c r="B162" s="73" t="s">
        <v>327</v>
      </c>
    </row>
    <row r="163" spans="2:2">
      <c r="B163" s="73" t="s">
        <v>327</v>
      </c>
    </row>
    <row r="164" spans="2:2">
      <c r="B164" s="73" t="s">
        <v>327</v>
      </c>
    </row>
    <row r="165" spans="2:2">
      <c r="B165" s="73" t="s">
        <v>327</v>
      </c>
    </row>
    <row r="166" spans="2:2">
      <c r="B166" s="73" t="s">
        <v>327</v>
      </c>
    </row>
    <row r="167" spans="2:2">
      <c r="B167" s="73" t="s">
        <v>327</v>
      </c>
    </row>
    <row r="168" spans="2:2">
      <c r="B168" s="73" t="s">
        <v>327</v>
      </c>
    </row>
    <row r="169" spans="2:2">
      <c r="B169" s="73" t="s">
        <v>327</v>
      </c>
    </row>
    <row r="170" spans="2:2">
      <c r="B170" s="73" t="s">
        <v>327</v>
      </c>
    </row>
    <row r="171" spans="2:2">
      <c r="B171" s="73" t="s">
        <v>327</v>
      </c>
    </row>
    <row r="172" spans="2:2">
      <c r="B172" s="73" t="s">
        <v>327</v>
      </c>
    </row>
    <row r="173" spans="2:2">
      <c r="B173" s="73" t="s">
        <v>327</v>
      </c>
    </row>
    <row r="174" spans="2:2">
      <c r="B174" s="73" t="s">
        <v>327</v>
      </c>
    </row>
    <row r="175" spans="2:2">
      <c r="B175" s="73" t="s">
        <v>327</v>
      </c>
    </row>
    <row r="176" spans="2:2">
      <c r="B176" s="73" t="s">
        <v>327</v>
      </c>
    </row>
    <row r="177" spans="2:2">
      <c r="B177" s="73" t="s">
        <v>327</v>
      </c>
    </row>
    <row r="178" spans="2:2">
      <c r="B178" s="73" t="s">
        <v>327</v>
      </c>
    </row>
    <row r="179" spans="2:2">
      <c r="B179" s="73" t="s">
        <v>327</v>
      </c>
    </row>
    <row r="180" spans="2:2">
      <c r="B180" s="73" t="s">
        <v>327</v>
      </c>
    </row>
    <row r="181" spans="2:2">
      <c r="B181" s="73" t="s">
        <v>327</v>
      </c>
    </row>
    <row r="182" spans="2:2">
      <c r="B182" s="73" t="s">
        <v>327</v>
      </c>
    </row>
    <row r="183" spans="2:2">
      <c r="B183" s="73" t="s">
        <v>327</v>
      </c>
    </row>
    <row r="184" spans="2:2">
      <c r="B184" s="73" t="s">
        <v>327</v>
      </c>
    </row>
    <row r="185" spans="2:2">
      <c r="B185" s="73" t="s">
        <v>327</v>
      </c>
    </row>
    <row r="186" spans="2:2">
      <c r="B186" s="73" t="s">
        <v>327</v>
      </c>
    </row>
    <row r="187" spans="2:2">
      <c r="B187" s="73" t="s">
        <v>327</v>
      </c>
    </row>
    <row r="188" spans="2:2">
      <c r="B188" s="73" t="s">
        <v>327</v>
      </c>
    </row>
    <row r="189" spans="2:2">
      <c r="B189" s="73" t="s">
        <v>327</v>
      </c>
    </row>
    <row r="190" spans="2:2">
      <c r="B190" s="73" t="s">
        <v>327</v>
      </c>
    </row>
    <row r="191" spans="2:2">
      <c r="B191" s="73" t="s">
        <v>327</v>
      </c>
    </row>
    <row r="192" spans="2:2">
      <c r="B192" s="73" t="s">
        <v>327</v>
      </c>
    </row>
    <row r="193" spans="2:2">
      <c r="B193" s="73" t="s">
        <v>327</v>
      </c>
    </row>
    <row r="194" spans="2:2">
      <c r="B194" s="73" t="s">
        <v>327</v>
      </c>
    </row>
    <row r="195" spans="2:2">
      <c r="B195" s="73" t="s">
        <v>327</v>
      </c>
    </row>
    <row r="196" spans="2:2">
      <c r="B196" s="73" t="s">
        <v>327</v>
      </c>
    </row>
    <row r="197" spans="2:2">
      <c r="B197" s="73" t="s">
        <v>327</v>
      </c>
    </row>
    <row r="198" spans="2:2">
      <c r="B198" s="73" t="s">
        <v>327</v>
      </c>
    </row>
    <row r="199" spans="2:2">
      <c r="B199" s="73" t="s">
        <v>327</v>
      </c>
    </row>
    <row r="200" spans="2:2">
      <c r="B200" s="73" t="s">
        <v>327</v>
      </c>
    </row>
    <row r="201" spans="2:2">
      <c r="B201" s="73" t="s">
        <v>327</v>
      </c>
    </row>
    <row r="202" spans="2:2">
      <c r="B202" s="73" t="s">
        <v>327</v>
      </c>
    </row>
    <row r="203" spans="2:2">
      <c r="B203" s="73" t="s">
        <v>327</v>
      </c>
    </row>
    <row r="204" spans="2:2">
      <c r="B204" s="73" t="s">
        <v>327</v>
      </c>
    </row>
    <row r="205" spans="2:2">
      <c r="B205" s="73" t="s">
        <v>327</v>
      </c>
    </row>
    <row r="206" spans="2:2">
      <c r="B206" s="73" t="s">
        <v>327</v>
      </c>
    </row>
    <row r="207" spans="2:2">
      <c r="B207" s="73" t="s">
        <v>327</v>
      </c>
    </row>
    <row r="208" spans="2:2">
      <c r="B208" s="73" t="s">
        <v>327</v>
      </c>
    </row>
    <row r="209" spans="2:2">
      <c r="B209" s="73" t="s">
        <v>327</v>
      </c>
    </row>
    <row r="210" spans="2:2">
      <c r="B210" s="73" t="s">
        <v>327</v>
      </c>
    </row>
    <row r="211" spans="2:2">
      <c r="B211" s="73" t="s">
        <v>327</v>
      </c>
    </row>
    <row r="212" spans="2:2">
      <c r="B212" s="73" t="s">
        <v>327</v>
      </c>
    </row>
    <row r="213" spans="2:2">
      <c r="B213" s="73" t="s">
        <v>327</v>
      </c>
    </row>
    <row r="214" spans="2:2">
      <c r="B214" s="73" t="s">
        <v>327</v>
      </c>
    </row>
    <row r="215" spans="2:2">
      <c r="B215" s="73" t="s">
        <v>327</v>
      </c>
    </row>
    <row r="216" spans="2:2">
      <c r="B216" s="73" t="s">
        <v>327</v>
      </c>
    </row>
    <row r="217" spans="2:2">
      <c r="B217" s="73" t="s">
        <v>327</v>
      </c>
    </row>
    <row r="218" spans="2:2">
      <c r="B218" s="73" t="s">
        <v>327</v>
      </c>
    </row>
    <row r="219" spans="2:2">
      <c r="B219" s="73" t="s">
        <v>327</v>
      </c>
    </row>
    <row r="220" spans="2:2">
      <c r="B220" s="73" t="s">
        <v>327</v>
      </c>
    </row>
    <row r="221" spans="2:2">
      <c r="B221" s="73" t="s">
        <v>327</v>
      </c>
    </row>
    <row r="222" spans="2:2">
      <c r="B222" s="73" t="s">
        <v>327</v>
      </c>
    </row>
    <row r="223" spans="2:2">
      <c r="B223" s="73" t="s">
        <v>327</v>
      </c>
    </row>
    <row r="224" spans="2:2">
      <c r="B224" s="73" t="s">
        <v>327</v>
      </c>
    </row>
    <row r="225" spans="2:2">
      <c r="B225" s="73" t="s">
        <v>327</v>
      </c>
    </row>
    <row r="226" spans="2:2">
      <c r="B226" s="73" t="s">
        <v>327</v>
      </c>
    </row>
    <row r="227" spans="2:2">
      <c r="B227" s="73" t="s">
        <v>327</v>
      </c>
    </row>
    <row r="228" spans="2:2">
      <c r="B228" s="73" t="s">
        <v>327</v>
      </c>
    </row>
    <row r="229" spans="2:2">
      <c r="B229" s="73" t="s">
        <v>327</v>
      </c>
    </row>
    <row r="230" spans="2:2">
      <c r="B230" s="73" t="s">
        <v>327</v>
      </c>
    </row>
    <row r="231" spans="2:2">
      <c r="B231" s="73" t="s">
        <v>327</v>
      </c>
    </row>
    <row r="232" spans="2:2">
      <c r="B232" s="73" t="s">
        <v>327</v>
      </c>
    </row>
    <row r="233" spans="2:2">
      <c r="B233" s="73" t="s">
        <v>327</v>
      </c>
    </row>
    <row r="234" spans="2:2">
      <c r="B234" s="73" t="s">
        <v>327</v>
      </c>
    </row>
    <row r="235" spans="2:2">
      <c r="B235" s="73" t="s">
        <v>327</v>
      </c>
    </row>
    <row r="236" spans="2:2">
      <c r="B236" s="73" t="s">
        <v>327</v>
      </c>
    </row>
    <row r="237" spans="2:2">
      <c r="B237" s="73" t="s">
        <v>327</v>
      </c>
    </row>
    <row r="238" spans="2:2">
      <c r="B238" s="73" t="s">
        <v>327</v>
      </c>
    </row>
    <row r="239" spans="2:2">
      <c r="B239" s="73" t="s">
        <v>327</v>
      </c>
    </row>
    <row r="240" spans="2:2">
      <c r="B240" s="73" t="s">
        <v>327</v>
      </c>
    </row>
    <row r="241" spans="2:2">
      <c r="B241" s="73" t="s">
        <v>327</v>
      </c>
    </row>
    <row r="242" spans="2:2">
      <c r="B242" s="73" t="s">
        <v>327</v>
      </c>
    </row>
    <row r="243" spans="2:2">
      <c r="B243" s="73" t="s">
        <v>327</v>
      </c>
    </row>
    <row r="244" spans="2:2">
      <c r="B244" s="73" t="s">
        <v>327</v>
      </c>
    </row>
    <row r="245" spans="2:2">
      <c r="B245" s="73" t="s">
        <v>327</v>
      </c>
    </row>
    <row r="246" spans="2:2">
      <c r="B246" s="73" t="s">
        <v>327</v>
      </c>
    </row>
    <row r="247" spans="2:2">
      <c r="B247" s="73" t="s">
        <v>327</v>
      </c>
    </row>
    <row r="248" spans="2:2">
      <c r="B248" s="73" t="s">
        <v>327</v>
      </c>
    </row>
    <row r="249" spans="2:2">
      <c r="B249" s="73" t="s">
        <v>327</v>
      </c>
    </row>
    <row r="250" spans="2:2">
      <c r="B250" s="73" t="s">
        <v>327</v>
      </c>
    </row>
    <row r="251" spans="2:2">
      <c r="B251" s="73" t="s">
        <v>327</v>
      </c>
    </row>
    <row r="252" spans="2:2">
      <c r="B252" s="73" t="s">
        <v>327</v>
      </c>
    </row>
    <row r="253" spans="2:2">
      <c r="B253" s="73" t="s">
        <v>327</v>
      </c>
    </row>
    <row r="254" spans="2:2">
      <c r="B254" s="73" t="s">
        <v>327</v>
      </c>
    </row>
    <row r="255" spans="2:2">
      <c r="B255" s="73" t="s">
        <v>327</v>
      </c>
    </row>
    <row r="256" spans="2:2">
      <c r="B256" s="73" t="s">
        <v>327</v>
      </c>
    </row>
    <row r="257" spans="2:2">
      <c r="B257" s="73" t="s">
        <v>327</v>
      </c>
    </row>
    <row r="258" spans="2:2">
      <c r="B258" s="73" t="s">
        <v>327</v>
      </c>
    </row>
    <row r="259" spans="2:2">
      <c r="B259" s="73" t="s">
        <v>327</v>
      </c>
    </row>
    <row r="260" spans="2:2">
      <c r="B260" s="73" t="s">
        <v>327</v>
      </c>
    </row>
    <row r="261" spans="2:2">
      <c r="B261" s="73" t="s">
        <v>327</v>
      </c>
    </row>
    <row r="262" spans="2:2">
      <c r="B262" s="73" t="s">
        <v>327</v>
      </c>
    </row>
    <row r="263" spans="2:2">
      <c r="B263" s="73" t="s">
        <v>327</v>
      </c>
    </row>
    <row r="264" spans="2:2">
      <c r="B264" s="73" t="s">
        <v>327</v>
      </c>
    </row>
    <row r="265" spans="2:2">
      <c r="B265" s="73" t="s">
        <v>327</v>
      </c>
    </row>
    <row r="266" spans="2:2">
      <c r="B266" s="73" t="s">
        <v>327</v>
      </c>
    </row>
    <row r="267" spans="2:2">
      <c r="B267" s="73" t="s">
        <v>327</v>
      </c>
    </row>
    <row r="268" spans="2:2">
      <c r="B268" s="73" t="s">
        <v>327</v>
      </c>
    </row>
    <row r="269" spans="2:2">
      <c r="B269" s="73" t="s">
        <v>327</v>
      </c>
    </row>
    <row r="270" spans="2:2">
      <c r="B270" s="73" t="s">
        <v>327</v>
      </c>
    </row>
    <row r="271" spans="2:2">
      <c r="B271" s="73" t="s">
        <v>327</v>
      </c>
    </row>
    <row r="272" spans="2:2">
      <c r="B272" s="73" t="s">
        <v>327</v>
      </c>
    </row>
    <row r="273" spans="2:2">
      <c r="B273" s="73" t="s">
        <v>327</v>
      </c>
    </row>
    <row r="274" spans="2:2">
      <c r="B274" s="73" t="s">
        <v>327</v>
      </c>
    </row>
    <row r="275" spans="2:2">
      <c r="B275" s="73" t="s">
        <v>327</v>
      </c>
    </row>
    <row r="276" spans="2:2">
      <c r="B276" s="73" t="s">
        <v>327</v>
      </c>
    </row>
    <row r="277" spans="2:2">
      <c r="B277" s="73" t="s">
        <v>327</v>
      </c>
    </row>
    <row r="278" spans="2:2">
      <c r="B278" s="73" t="s">
        <v>327</v>
      </c>
    </row>
    <row r="279" spans="2:2">
      <c r="B279" s="73" t="s">
        <v>327</v>
      </c>
    </row>
    <row r="280" spans="2:2">
      <c r="B280" s="73" t="s">
        <v>327</v>
      </c>
    </row>
    <row r="281" spans="2:2">
      <c r="B281" s="73" t="s">
        <v>327</v>
      </c>
    </row>
    <row r="282" spans="2:2">
      <c r="B282" s="73" t="s">
        <v>327</v>
      </c>
    </row>
    <row r="283" spans="2:2">
      <c r="B283" s="73" t="s">
        <v>327</v>
      </c>
    </row>
    <row r="284" spans="2:2">
      <c r="B284" s="73" t="s">
        <v>327</v>
      </c>
    </row>
    <row r="285" spans="2:2">
      <c r="B285" s="73" t="s">
        <v>327</v>
      </c>
    </row>
    <row r="286" spans="2:2">
      <c r="B286" s="73" t="s">
        <v>327</v>
      </c>
    </row>
    <row r="287" spans="2:2">
      <c r="B287" s="73" t="s">
        <v>327</v>
      </c>
    </row>
    <row r="288" spans="2:2">
      <c r="B288" s="73" t="s">
        <v>327</v>
      </c>
    </row>
    <row r="289" spans="2:2">
      <c r="B289" s="73" t="s">
        <v>327</v>
      </c>
    </row>
    <row r="290" spans="2:2">
      <c r="B290" s="73" t="s">
        <v>327</v>
      </c>
    </row>
    <row r="291" spans="2:2">
      <c r="B291" s="73" t="s">
        <v>327</v>
      </c>
    </row>
    <row r="292" spans="2:2">
      <c r="B292" s="73" t="s">
        <v>327</v>
      </c>
    </row>
    <row r="293" spans="2:2">
      <c r="B293" s="73" t="s">
        <v>327</v>
      </c>
    </row>
    <row r="294" spans="2:2">
      <c r="B294" s="73" t="s">
        <v>327</v>
      </c>
    </row>
    <row r="295" spans="2:2">
      <c r="B295" s="73" t="s">
        <v>327</v>
      </c>
    </row>
    <row r="296" spans="2:2">
      <c r="B296" s="73" t="s">
        <v>327</v>
      </c>
    </row>
    <row r="297" spans="2:2">
      <c r="B297" s="73" t="s">
        <v>327</v>
      </c>
    </row>
    <row r="298" spans="2:2">
      <c r="B298" s="73" t="s">
        <v>327</v>
      </c>
    </row>
    <row r="299" spans="2:2">
      <c r="B299" s="73" t="s">
        <v>327</v>
      </c>
    </row>
    <row r="300" spans="2:2">
      <c r="B300" s="73" t="s">
        <v>327</v>
      </c>
    </row>
    <row r="301" spans="2:2">
      <c r="B301" s="73" t="s">
        <v>327</v>
      </c>
    </row>
    <row r="302" spans="2:2">
      <c r="B302" s="73" t="s">
        <v>327</v>
      </c>
    </row>
    <row r="303" spans="2:2">
      <c r="B303" s="73" t="s">
        <v>327</v>
      </c>
    </row>
    <row r="304" spans="2:2">
      <c r="B304" s="73" t="s">
        <v>327</v>
      </c>
    </row>
    <row r="305" spans="2:2">
      <c r="B305" s="73" t="s">
        <v>327</v>
      </c>
    </row>
    <row r="306" spans="2:2">
      <c r="B306" s="73" t="s">
        <v>327</v>
      </c>
    </row>
    <row r="307" spans="2:2">
      <c r="B307" s="73" t="s">
        <v>327</v>
      </c>
    </row>
    <row r="308" spans="2:2">
      <c r="B308" s="73" t="s">
        <v>327</v>
      </c>
    </row>
    <row r="309" spans="2:2">
      <c r="B309" s="73" t="s">
        <v>327</v>
      </c>
    </row>
    <row r="310" spans="2:2">
      <c r="B310" s="73" t="s">
        <v>327</v>
      </c>
    </row>
    <row r="311" spans="2:2">
      <c r="B311" s="73" t="s">
        <v>327</v>
      </c>
    </row>
    <row r="312" spans="2:2">
      <c r="B312" s="73" t="s">
        <v>327</v>
      </c>
    </row>
    <row r="313" spans="2:2">
      <c r="B313" s="73" t="s">
        <v>327</v>
      </c>
    </row>
    <row r="314" spans="2:2">
      <c r="B314" s="73" t="s">
        <v>327</v>
      </c>
    </row>
    <row r="315" spans="2:2">
      <c r="B315" s="73" t="s">
        <v>327</v>
      </c>
    </row>
    <row r="316" spans="2:2">
      <c r="B316" s="73" t="s">
        <v>327</v>
      </c>
    </row>
    <row r="317" spans="2:2">
      <c r="B317" s="73" t="s">
        <v>327</v>
      </c>
    </row>
    <row r="318" spans="2:2">
      <c r="B318" s="73" t="s">
        <v>327</v>
      </c>
    </row>
    <row r="319" spans="2:2">
      <c r="B319" s="73" t="s">
        <v>327</v>
      </c>
    </row>
    <row r="320" spans="2:2">
      <c r="B320" s="73" t="s">
        <v>327</v>
      </c>
    </row>
    <row r="321" spans="2:2">
      <c r="B321" s="73" t="s">
        <v>327</v>
      </c>
    </row>
    <row r="322" spans="2:2">
      <c r="B322" s="73" t="s">
        <v>327</v>
      </c>
    </row>
    <row r="323" spans="2:2">
      <c r="B323" s="73" t="s">
        <v>327</v>
      </c>
    </row>
    <row r="324" spans="2:2">
      <c r="B324" s="73" t="s">
        <v>327</v>
      </c>
    </row>
    <row r="325" spans="2:2">
      <c r="B325" s="73" t="s">
        <v>327</v>
      </c>
    </row>
    <row r="326" spans="2:2">
      <c r="B326" s="73" t="s">
        <v>327</v>
      </c>
    </row>
    <row r="327" spans="2:2">
      <c r="B327" s="73" t="s">
        <v>327</v>
      </c>
    </row>
    <row r="328" spans="2:2">
      <c r="B328" s="73" t="s">
        <v>327</v>
      </c>
    </row>
    <row r="329" spans="2:2">
      <c r="B329" s="73" t="s">
        <v>327</v>
      </c>
    </row>
    <row r="330" spans="2:2">
      <c r="B330" s="73" t="s">
        <v>327</v>
      </c>
    </row>
    <row r="331" spans="2:2">
      <c r="B331" s="73" t="s">
        <v>327</v>
      </c>
    </row>
    <row r="332" spans="2:2">
      <c r="B332" s="73" t="s">
        <v>327</v>
      </c>
    </row>
    <row r="333" spans="2:2">
      <c r="B333" s="73" t="s">
        <v>327</v>
      </c>
    </row>
    <row r="334" spans="2:2">
      <c r="B334" s="73" t="s">
        <v>327</v>
      </c>
    </row>
    <row r="335" spans="2:2">
      <c r="B335" s="73" t="s">
        <v>327</v>
      </c>
    </row>
    <row r="336" spans="2:2">
      <c r="B336" s="73" t="s">
        <v>327</v>
      </c>
    </row>
    <row r="337" spans="2:2">
      <c r="B337" s="73" t="s">
        <v>327</v>
      </c>
    </row>
    <row r="338" spans="2:2">
      <c r="B338" s="73" t="s">
        <v>327</v>
      </c>
    </row>
    <row r="339" spans="2:2">
      <c r="B339" s="73" t="s">
        <v>327</v>
      </c>
    </row>
    <row r="340" spans="2:2">
      <c r="B340" s="73" t="s">
        <v>327</v>
      </c>
    </row>
    <row r="341" spans="2:2">
      <c r="B341" s="73" t="s">
        <v>327</v>
      </c>
    </row>
    <row r="342" spans="2:2">
      <c r="B342" s="73" t="s">
        <v>327</v>
      </c>
    </row>
    <row r="343" spans="2:2">
      <c r="B343" s="73" t="s">
        <v>327</v>
      </c>
    </row>
    <row r="344" spans="2:2">
      <c r="B344" s="73" t="s">
        <v>327</v>
      </c>
    </row>
    <row r="345" spans="2:2">
      <c r="B345" s="73" t="s">
        <v>327</v>
      </c>
    </row>
    <row r="346" spans="2:2">
      <c r="B346" s="73" t="s">
        <v>327</v>
      </c>
    </row>
    <row r="347" spans="2:2">
      <c r="B347" s="73" t="s">
        <v>327</v>
      </c>
    </row>
    <row r="348" spans="2:2">
      <c r="B348" s="73" t="s">
        <v>327</v>
      </c>
    </row>
    <row r="349" spans="2:2">
      <c r="B349" s="73" t="s">
        <v>327</v>
      </c>
    </row>
    <row r="350" spans="2:2">
      <c r="B350" s="73" t="s">
        <v>327</v>
      </c>
    </row>
    <row r="351" spans="2:2">
      <c r="B351" s="73" t="s">
        <v>327</v>
      </c>
    </row>
    <row r="352" spans="2:2">
      <c r="B352" s="73" t="s">
        <v>327</v>
      </c>
    </row>
    <row r="353" spans="2:2">
      <c r="B353" s="73" t="s">
        <v>327</v>
      </c>
    </row>
    <row r="354" spans="2:2">
      <c r="B354" s="73" t="s">
        <v>327</v>
      </c>
    </row>
    <row r="355" spans="2:2">
      <c r="B355" s="73" t="s">
        <v>327</v>
      </c>
    </row>
    <row r="356" spans="2:2">
      <c r="B356" s="73" t="s">
        <v>327</v>
      </c>
    </row>
    <row r="357" spans="2:2">
      <c r="B357" s="73" t="s">
        <v>327</v>
      </c>
    </row>
    <row r="358" spans="2:2">
      <c r="B358" s="73" t="s">
        <v>327</v>
      </c>
    </row>
    <row r="359" spans="2:2">
      <c r="B359" s="73" t="s">
        <v>327</v>
      </c>
    </row>
    <row r="360" spans="2:2">
      <c r="B360" s="73" t="s">
        <v>327</v>
      </c>
    </row>
    <row r="361" spans="2:2">
      <c r="B361" s="73" t="s">
        <v>327</v>
      </c>
    </row>
    <row r="362" spans="2:2">
      <c r="B362" s="73" t="s">
        <v>327</v>
      </c>
    </row>
    <row r="363" spans="2:2">
      <c r="B363" s="73" t="s">
        <v>327</v>
      </c>
    </row>
    <row r="364" spans="2:2">
      <c r="B364" s="73" t="s">
        <v>327</v>
      </c>
    </row>
    <row r="365" spans="2:2">
      <c r="B365" s="73" t="s">
        <v>327</v>
      </c>
    </row>
    <row r="366" spans="2:2">
      <c r="B366" s="73" t="s">
        <v>327</v>
      </c>
    </row>
    <row r="367" spans="2:2">
      <c r="B367" s="73" t="s">
        <v>327</v>
      </c>
    </row>
    <row r="368" spans="2:2">
      <c r="B368" s="73" t="s">
        <v>327</v>
      </c>
    </row>
    <row r="369" spans="2:2">
      <c r="B369" s="73" t="s">
        <v>327</v>
      </c>
    </row>
    <row r="370" spans="2:2">
      <c r="B370" s="73" t="s">
        <v>327</v>
      </c>
    </row>
    <row r="371" spans="2:2">
      <c r="B371" s="73" t="s">
        <v>327</v>
      </c>
    </row>
    <row r="372" spans="2:2">
      <c r="B372" s="73" t="s">
        <v>327</v>
      </c>
    </row>
    <row r="373" spans="2:2">
      <c r="B373" s="73" t="s">
        <v>327</v>
      </c>
    </row>
    <row r="374" spans="2:2">
      <c r="B374" s="73" t="s">
        <v>327</v>
      </c>
    </row>
    <row r="375" spans="2:2">
      <c r="B375" s="73" t="s">
        <v>327</v>
      </c>
    </row>
    <row r="376" spans="2:2">
      <c r="B376" s="73" t="s">
        <v>327</v>
      </c>
    </row>
    <row r="377" spans="2:2">
      <c r="B377" s="73" t="s">
        <v>327</v>
      </c>
    </row>
    <row r="378" spans="2:2">
      <c r="B378" s="73" t="s">
        <v>327</v>
      </c>
    </row>
    <row r="379" spans="2:2">
      <c r="B379" s="73" t="s">
        <v>327</v>
      </c>
    </row>
    <row r="380" spans="2:2">
      <c r="B380" s="73" t="s">
        <v>327</v>
      </c>
    </row>
    <row r="381" spans="2:2">
      <c r="B381" s="73" t="s">
        <v>327</v>
      </c>
    </row>
    <row r="382" spans="2:2">
      <c r="B382" s="73" t="s">
        <v>327</v>
      </c>
    </row>
    <row r="383" spans="2:2">
      <c r="B383" s="73" t="s">
        <v>327</v>
      </c>
    </row>
    <row r="384" spans="2:2">
      <c r="B384" s="73" t="s">
        <v>327</v>
      </c>
    </row>
    <row r="385" spans="2:2">
      <c r="B385" s="73" t="s">
        <v>327</v>
      </c>
    </row>
    <row r="386" spans="2:2">
      <c r="B386" s="73" t="s">
        <v>327</v>
      </c>
    </row>
    <row r="387" spans="2:2">
      <c r="B387" s="73" t="s">
        <v>327</v>
      </c>
    </row>
    <row r="388" spans="2:2">
      <c r="B388" s="73" t="s">
        <v>327</v>
      </c>
    </row>
    <row r="389" spans="2:2">
      <c r="B389" s="73" t="s">
        <v>327</v>
      </c>
    </row>
    <row r="390" spans="2:2">
      <c r="B390" s="73" t="s">
        <v>327</v>
      </c>
    </row>
    <row r="391" spans="2:2">
      <c r="B391" s="73" t="s">
        <v>327</v>
      </c>
    </row>
    <row r="392" spans="2:2">
      <c r="B392" s="73" t="s">
        <v>327</v>
      </c>
    </row>
    <row r="393" spans="2:2">
      <c r="B393" s="73" t="s">
        <v>327</v>
      </c>
    </row>
    <row r="394" spans="2:2">
      <c r="B394" s="73" t="s">
        <v>327</v>
      </c>
    </row>
    <row r="395" spans="2:2">
      <c r="B395" s="73" t="s">
        <v>327</v>
      </c>
    </row>
    <row r="396" spans="2:2">
      <c r="B396" s="73" t="s">
        <v>327</v>
      </c>
    </row>
    <row r="397" spans="2:2">
      <c r="B397" s="73" t="s">
        <v>327</v>
      </c>
    </row>
    <row r="398" spans="2:2">
      <c r="B398" s="73" t="s">
        <v>327</v>
      </c>
    </row>
    <row r="399" spans="2:2">
      <c r="B399" s="73" t="s">
        <v>327</v>
      </c>
    </row>
    <row r="400" spans="2:2">
      <c r="B400" s="73" t="s">
        <v>327</v>
      </c>
    </row>
    <row r="401" spans="2:2">
      <c r="B401" s="73" t="s">
        <v>327</v>
      </c>
    </row>
    <row r="402" spans="2:2">
      <c r="B402" s="73" t="s">
        <v>327</v>
      </c>
    </row>
    <row r="403" spans="2:2">
      <c r="B403" s="73" t="s">
        <v>327</v>
      </c>
    </row>
    <row r="404" spans="2:2">
      <c r="B404" s="73" t="s">
        <v>327</v>
      </c>
    </row>
    <row r="405" spans="2:2">
      <c r="B405" s="73" t="s">
        <v>327</v>
      </c>
    </row>
    <row r="406" spans="2:2">
      <c r="B406" s="73" t="s">
        <v>327</v>
      </c>
    </row>
    <row r="407" spans="2:2">
      <c r="B407" s="73" t="s">
        <v>327</v>
      </c>
    </row>
    <row r="408" spans="2:2">
      <c r="B408" s="73" t="s">
        <v>327</v>
      </c>
    </row>
    <row r="409" spans="2:2">
      <c r="B409" s="73" t="s">
        <v>327</v>
      </c>
    </row>
    <row r="410" spans="2:2">
      <c r="B410" s="73" t="s">
        <v>327</v>
      </c>
    </row>
    <row r="411" spans="2:2">
      <c r="B411" s="73" t="s">
        <v>327</v>
      </c>
    </row>
    <row r="412" spans="2:2">
      <c r="B412" s="73" t="s">
        <v>327</v>
      </c>
    </row>
    <row r="413" spans="2:2">
      <c r="B413" s="73" t="s">
        <v>327</v>
      </c>
    </row>
    <row r="414" spans="2:2">
      <c r="B414" s="73" t="s">
        <v>327</v>
      </c>
    </row>
    <row r="415" spans="2:2">
      <c r="B415" s="73" t="s">
        <v>327</v>
      </c>
    </row>
    <row r="416" spans="2:2">
      <c r="B416" s="73" t="s">
        <v>327</v>
      </c>
    </row>
    <row r="417" spans="2:2">
      <c r="B417" s="73" t="s">
        <v>327</v>
      </c>
    </row>
    <row r="418" spans="2:2">
      <c r="B418" s="73" t="s">
        <v>327</v>
      </c>
    </row>
    <row r="419" spans="2:2">
      <c r="B419" s="73" t="s">
        <v>327</v>
      </c>
    </row>
    <row r="420" spans="2:2">
      <c r="B420" s="73" t="s">
        <v>327</v>
      </c>
    </row>
    <row r="421" spans="2:2">
      <c r="B421" s="73" t="s">
        <v>327</v>
      </c>
    </row>
    <row r="422" spans="2:2">
      <c r="B422" s="73" t="s">
        <v>327</v>
      </c>
    </row>
    <row r="423" spans="2:2">
      <c r="B423" s="73" t="s">
        <v>327</v>
      </c>
    </row>
    <row r="424" spans="2:2">
      <c r="B424" s="73" t="s">
        <v>327</v>
      </c>
    </row>
    <row r="425" spans="2:2">
      <c r="B425" s="73" t="s">
        <v>327</v>
      </c>
    </row>
    <row r="426" spans="2:2">
      <c r="B426" s="73" t="s">
        <v>327</v>
      </c>
    </row>
    <row r="427" spans="2:2">
      <c r="B427" s="73" t="s">
        <v>327</v>
      </c>
    </row>
    <row r="428" spans="2:2">
      <c r="B428" s="73" t="s">
        <v>327</v>
      </c>
    </row>
    <row r="429" spans="2:2">
      <c r="B429" s="73" t="s">
        <v>327</v>
      </c>
    </row>
    <row r="430" spans="2:2">
      <c r="B430" s="73" t="s">
        <v>327</v>
      </c>
    </row>
    <row r="431" spans="2:2">
      <c r="B431" s="73" t="s">
        <v>327</v>
      </c>
    </row>
    <row r="432" spans="2:2">
      <c r="B432" s="73" t="s">
        <v>327</v>
      </c>
    </row>
    <row r="433" spans="2:2">
      <c r="B433" s="73" t="s">
        <v>327</v>
      </c>
    </row>
    <row r="434" spans="2:2">
      <c r="B434" s="73" t="s">
        <v>327</v>
      </c>
    </row>
    <row r="435" spans="2:2">
      <c r="B435" s="73" t="s">
        <v>327</v>
      </c>
    </row>
    <row r="436" spans="2:2">
      <c r="B436" s="73" t="s">
        <v>327</v>
      </c>
    </row>
    <row r="437" spans="2:2">
      <c r="B437" s="73" t="s">
        <v>327</v>
      </c>
    </row>
    <row r="438" spans="2:2">
      <c r="B438" s="73" t="s">
        <v>327</v>
      </c>
    </row>
    <row r="439" spans="2:2">
      <c r="B439" s="73" t="s">
        <v>327</v>
      </c>
    </row>
    <row r="440" spans="2:2">
      <c r="B440" s="73" t="s">
        <v>327</v>
      </c>
    </row>
    <row r="441" spans="2:2">
      <c r="B441" s="73" t="s">
        <v>327</v>
      </c>
    </row>
    <row r="442" spans="2:2">
      <c r="B442" s="73" t="s">
        <v>327</v>
      </c>
    </row>
    <row r="443" spans="2:2">
      <c r="B443" s="73" t="s">
        <v>327</v>
      </c>
    </row>
    <row r="444" spans="2:2">
      <c r="B444" s="73" t="s">
        <v>327</v>
      </c>
    </row>
    <row r="445" spans="2:2">
      <c r="B445" s="73" t="s">
        <v>327</v>
      </c>
    </row>
    <row r="446" spans="2:2">
      <c r="B446" s="73" t="s">
        <v>327</v>
      </c>
    </row>
    <row r="447" spans="2:2">
      <c r="B447" s="73" t="s">
        <v>327</v>
      </c>
    </row>
    <row r="448" spans="2:2">
      <c r="B448" s="73" t="s">
        <v>327</v>
      </c>
    </row>
    <row r="449" spans="2:2">
      <c r="B449" s="73" t="s">
        <v>327</v>
      </c>
    </row>
    <row r="450" spans="2:2">
      <c r="B450" s="73" t="s">
        <v>327</v>
      </c>
    </row>
    <row r="451" spans="2:2">
      <c r="B451" s="73" t="s">
        <v>327</v>
      </c>
    </row>
    <row r="452" spans="2:2">
      <c r="B452" s="73" t="s">
        <v>327</v>
      </c>
    </row>
    <row r="453" spans="2:2">
      <c r="B453" s="73" t="s">
        <v>327</v>
      </c>
    </row>
    <row r="454" spans="2:2">
      <c r="B454" s="73" t="s">
        <v>327</v>
      </c>
    </row>
    <row r="455" spans="2:2">
      <c r="B455" s="73" t="s">
        <v>327</v>
      </c>
    </row>
    <row r="456" spans="2:2">
      <c r="B456" s="73" t="s">
        <v>327</v>
      </c>
    </row>
    <row r="457" spans="2:2">
      <c r="B457" s="73" t="s">
        <v>327</v>
      </c>
    </row>
    <row r="458" spans="2:2">
      <c r="B458" s="73" t="s">
        <v>327</v>
      </c>
    </row>
    <row r="459" spans="2:2">
      <c r="B459" s="73" t="s">
        <v>327</v>
      </c>
    </row>
    <row r="460" spans="2:2">
      <c r="B460" s="73" t="s">
        <v>327</v>
      </c>
    </row>
    <row r="461" spans="2:2">
      <c r="B461" s="73" t="s">
        <v>327</v>
      </c>
    </row>
    <row r="462" spans="2:2">
      <c r="B462" s="73" t="s">
        <v>327</v>
      </c>
    </row>
    <row r="463" spans="2:2">
      <c r="B463" s="73" t="s">
        <v>327</v>
      </c>
    </row>
    <row r="464" spans="2:2">
      <c r="B464" s="73" t="s">
        <v>327</v>
      </c>
    </row>
    <row r="465" spans="2:2">
      <c r="B465" s="73" t="s">
        <v>327</v>
      </c>
    </row>
    <row r="466" spans="2:2">
      <c r="B466" s="73" t="s">
        <v>327</v>
      </c>
    </row>
    <row r="467" spans="2:2">
      <c r="B467" s="73" t="s">
        <v>327</v>
      </c>
    </row>
    <row r="468" spans="2:2">
      <c r="B468" s="73" t="s">
        <v>327</v>
      </c>
    </row>
    <row r="469" spans="2:2">
      <c r="B469" s="73" t="s">
        <v>327</v>
      </c>
    </row>
    <row r="470" spans="2:2">
      <c r="B470" s="73" t="s">
        <v>327</v>
      </c>
    </row>
    <row r="471" spans="2:2">
      <c r="B471" s="73" t="s">
        <v>327</v>
      </c>
    </row>
    <row r="472" spans="2:2">
      <c r="B472" s="73" t="s">
        <v>327</v>
      </c>
    </row>
    <row r="473" spans="2:2">
      <c r="B473" s="73" t="s">
        <v>327</v>
      </c>
    </row>
    <row r="474" spans="2:2">
      <c r="B474" s="73" t="s">
        <v>327</v>
      </c>
    </row>
    <row r="475" spans="2:2">
      <c r="B475" s="73" t="s">
        <v>327</v>
      </c>
    </row>
    <row r="476" spans="2:2">
      <c r="B476" s="73" t="s">
        <v>327</v>
      </c>
    </row>
    <row r="477" spans="2:2">
      <c r="B477" s="73" t="s">
        <v>327</v>
      </c>
    </row>
    <row r="478" spans="2:2">
      <c r="B478" s="73" t="s">
        <v>327</v>
      </c>
    </row>
    <row r="479" spans="2:2">
      <c r="B479" s="73" t="s">
        <v>327</v>
      </c>
    </row>
    <row r="480" spans="2:2">
      <c r="B480" s="73" t="s">
        <v>327</v>
      </c>
    </row>
    <row r="481" spans="2:2">
      <c r="B481" s="73" t="s">
        <v>327</v>
      </c>
    </row>
    <row r="482" spans="2:2">
      <c r="B482" s="73" t="s">
        <v>327</v>
      </c>
    </row>
    <row r="483" spans="2:2">
      <c r="B483" s="73" t="s">
        <v>327</v>
      </c>
    </row>
    <row r="484" spans="2:2">
      <c r="B484" s="73" t="s">
        <v>327</v>
      </c>
    </row>
    <row r="485" spans="2:2">
      <c r="B485" s="73" t="s">
        <v>327</v>
      </c>
    </row>
    <row r="486" spans="2:2">
      <c r="B486" s="73" t="s">
        <v>327</v>
      </c>
    </row>
    <row r="487" spans="2:2">
      <c r="B487" s="73" t="s">
        <v>327</v>
      </c>
    </row>
    <row r="488" spans="2:2">
      <c r="B488" s="73" t="s">
        <v>327</v>
      </c>
    </row>
    <row r="489" spans="2:2">
      <c r="B489" s="73" t="s">
        <v>327</v>
      </c>
    </row>
    <row r="490" spans="2:2">
      <c r="B490" s="73" t="s">
        <v>327</v>
      </c>
    </row>
    <row r="491" spans="2:2">
      <c r="B491" s="73" t="s">
        <v>327</v>
      </c>
    </row>
    <row r="492" spans="2:2">
      <c r="B492" s="73" t="s">
        <v>327</v>
      </c>
    </row>
    <row r="493" spans="2:2">
      <c r="B493" s="73" t="s">
        <v>327</v>
      </c>
    </row>
    <row r="494" spans="2:2">
      <c r="B494" s="73" t="s">
        <v>327</v>
      </c>
    </row>
    <row r="495" spans="2:2">
      <c r="B495" s="73" t="s">
        <v>327</v>
      </c>
    </row>
    <row r="496" spans="2:2">
      <c r="B496" s="73" t="s">
        <v>327</v>
      </c>
    </row>
    <row r="497" spans="2:2">
      <c r="B497" s="73" t="s">
        <v>327</v>
      </c>
    </row>
    <row r="498" spans="2:2">
      <c r="B498" s="73" t="s">
        <v>327</v>
      </c>
    </row>
    <row r="499" spans="2:2">
      <c r="B499" s="73" t="s">
        <v>327</v>
      </c>
    </row>
    <row r="500" spans="2:2">
      <c r="B500" s="73" t="s">
        <v>327</v>
      </c>
    </row>
    <row r="501" spans="2:2">
      <c r="B501" s="73" t="s">
        <v>327</v>
      </c>
    </row>
    <row r="502" spans="2:2">
      <c r="B502" s="73" t="s">
        <v>327</v>
      </c>
    </row>
    <row r="503" spans="2:2">
      <c r="B503" s="73" t="s">
        <v>327</v>
      </c>
    </row>
    <row r="504" spans="2:2">
      <c r="B504" s="73" t="s">
        <v>327</v>
      </c>
    </row>
    <row r="505" spans="2:2">
      <c r="B505" s="73" t="s">
        <v>327</v>
      </c>
    </row>
    <row r="506" spans="2:2">
      <c r="B506" s="73" t="s">
        <v>327</v>
      </c>
    </row>
    <row r="507" spans="2:2">
      <c r="B507" s="73" t="s">
        <v>327</v>
      </c>
    </row>
    <row r="508" spans="2:2">
      <c r="B508" s="73" t="s">
        <v>327</v>
      </c>
    </row>
    <row r="509" spans="2:2">
      <c r="B509" s="73" t="s">
        <v>327</v>
      </c>
    </row>
    <row r="510" spans="2:2">
      <c r="B510" s="73" t="s">
        <v>327</v>
      </c>
    </row>
    <row r="511" spans="2:2">
      <c r="B511" s="73" t="s">
        <v>327</v>
      </c>
    </row>
    <row r="512" spans="2:2">
      <c r="B512" s="73" t="s">
        <v>327</v>
      </c>
    </row>
    <row r="513" spans="2:2">
      <c r="B513" s="73" t="s">
        <v>327</v>
      </c>
    </row>
    <row r="514" spans="2:2">
      <c r="B514" s="73" t="s">
        <v>327</v>
      </c>
    </row>
    <row r="515" spans="2:2">
      <c r="B515" s="73" t="s">
        <v>327</v>
      </c>
    </row>
    <row r="516" spans="2:2">
      <c r="B516" s="73" t="s">
        <v>327</v>
      </c>
    </row>
    <row r="517" spans="2:2">
      <c r="B517" s="73" t="s">
        <v>327</v>
      </c>
    </row>
    <row r="518" spans="2:2">
      <c r="B518" s="73" t="s">
        <v>327</v>
      </c>
    </row>
    <row r="519" spans="2:2">
      <c r="B519" s="73" t="s">
        <v>327</v>
      </c>
    </row>
    <row r="520" spans="2:2">
      <c r="B520" s="73" t="s">
        <v>327</v>
      </c>
    </row>
    <row r="521" spans="2:2">
      <c r="B521" s="73" t="s">
        <v>327</v>
      </c>
    </row>
    <row r="522" spans="2:2">
      <c r="B522" s="73" t="s">
        <v>327</v>
      </c>
    </row>
    <row r="523" spans="2:2">
      <c r="B523" s="73" t="s">
        <v>327</v>
      </c>
    </row>
    <row r="524" spans="2:2">
      <c r="B524" s="73" t="s">
        <v>327</v>
      </c>
    </row>
    <row r="525" spans="2:2">
      <c r="B525" s="73" t="s">
        <v>327</v>
      </c>
    </row>
    <row r="526" spans="2:2">
      <c r="B526" s="73" t="s">
        <v>327</v>
      </c>
    </row>
    <row r="527" spans="2:2">
      <c r="B527" s="73" t="s">
        <v>327</v>
      </c>
    </row>
    <row r="528" spans="2:2">
      <c r="B528" s="73" t="s">
        <v>327</v>
      </c>
    </row>
    <row r="529" spans="2:2">
      <c r="B529" s="73" t="s">
        <v>327</v>
      </c>
    </row>
    <row r="530" spans="2:2">
      <c r="B530" s="73" t="s">
        <v>327</v>
      </c>
    </row>
    <row r="531" spans="2:2">
      <c r="B531" s="73" t="s">
        <v>327</v>
      </c>
    </row>
    <row r="532" spans="2:2">
      <c r="B532" s="73" t="s">
        <v>327</v>
      </c>
    </row>
    <row r="533" spans="2:2">
      <c r="B533" s="73" t="s">
        <v>327</v>
      </c>
    </row>
    <row r="534" spans="2:2">
      <c r="B534" s="73" t="s">
        <v>327</v>
      </c>
    </row>
    <row r="535" spans="2:2">
      <c r="B535" s="73" t="s">
        <v>327</v>
      </c>
    </row>
    <row r="536" spans="2:2">
      <c r="B536" s="73" t="s">
        <v>327</v>
      </c>
    </row>
    <row r="537" spans="2:2">
      <c r="B537" s="73" t="s">
        <v>327</v>
      </c>
    </row>
    <row r="538" spans="2:2">
      <c r="B538" s="73" t="s">
        <v>327</v>
      </c>
    </row>
    <row r="539" spans="2:2">
      <c r="B539" s="73" t="s">
        <v>327</v>
      </c>
    </row>
    <row r="540" spans="2:2">
      <c r="B540" s="73" t="s">
        <v>327</v>
      </c>
    </row>
    <row r="541" spans="2:2">
      <c r="B541" s="73" t="s">
        <v>327</v>
      </c>
    </row>
    <row r="542" spans="2:2">
      <c r="B542" s="73" t="s">
        <v>327</v>
      </c>
    </row>
    <row r="543" spans="2:2">
      <c r="B543" s="73" t="s">
        <v>327</v>
      </c>
    </row>
    <row r="544" spans="2:2">
      <c r="B544" s="73" t="s">
        <v>327</v>
      </c>
    </row>
    <row r="545" spans="2:2">
      <c r="B545" s="73" t="s">
        <v>327</v>
      </c>
    </row>
    <row r="546" spans="2:2">
      <c r="B546" s="73" t="s">
        <v>327</v>
      </c>
    </row>
    <row r="547" spans="2:2">
      <c r="B547" s="73" t="s">
        <v>327</v>
      </c>
    </row>
    <row r="548" spans="2:2">
      <c r="B548" s="73" t="s">
        <v>327</v>
      </c>
    </row>
    <row r="549" spans="2:2">
      <c r="B549" s="73" t="s">
        <v>327</v>
      </c>
    </row>
    <row r="550" spans="2:2">
      <c r="B550" s="73" t="s">
        <v>327</v>
      </c>
    </row>
    <row r="551" spans="2:2">
      <c r="B551" s="73" t="s">
        <v>327</v>
      </c>
    </row>
    <row r="552" spans="2:2">
      <c r="B552" s="73" t="s">
        <v>327</v>
      </c>
    </row>
    <row r="553" spans="2:2">
      <c r="B553" s="73" t="s">
        <v>327</v>
      </c>
    </row>
    <row r="554" spans="2:2">
      <c r="B554" s="73" t="s">
        <v>327</v>
      </c>
    </row>
    <row r="555" spans="2:2">
      <c r="B555" s="73" t="s">
        <v>327</v>
      </c>
    </row>
    <row r="556" spans="2:2">
      <c r="B556" s="73" t="s">
        <v>327</v>
      </c>
    </row>
    <row r="557" spans="2:2">
      <c r="B557" s="73" t="s">
        <v>327</v>
      </c>
    </row>
    <row r="558" spans="2:2">
      <c r="B558" s="73" t="s">
        <v>327</v>
      </c>
    </row>
    <row r="559" spans="2:2">
      <c r="B559" s="73" t="s">
        <v>327</v>
      </c>
    </row>
    <row r="560" spans="2:2">
      <c r="B560" s="73" t="s">
        <v>327</v>
      </c>
    </row>
    <row r="561" spans="2:2">
      <c r="B561" s="73" t="s">
        <v>327</v>
      </c>
    </row>
    <row r="562" spans="2:2">
      <c r="B562" s="73" t="s">
        <v>327</v>
      </c>
    </row>
    <row r="563" spans="2:2">
      <c r="B563" s="73" t="s">
        <v>327</v>
      </c>
    </row>
    <row r="564" spans="2:2">
      <c r="B564" s="73" t="s">
        <v>327</v>
      </c>
    </row>
    <row r="565" spans="2:2">
      <c r="B565" s="73" t="s">
        <v>327</v>
      </c>
    </row>
    <row r="566" spans="2:2">
      <c r="B566" s="73" t="s">
        <v>327</v>
      </c>
    </row>
    <row r="567" spans="2:2">
      <c r="B567" s="73" t="s">
        <v>327</v>
      </c>
    </row>
    <row r="568" spans="2:2">
      <c r="B568" s="73" t="s">
        <v>327</v>
      </c>
    </row>
    <row r="569" spans="2:2">
      <c r="B569" s="73" t="s">
        <v>327</v>
      </c>
    </row>
    <row r="570" spans="2:2">
      <c r="B570" s="73" t="s">
        <v>327</v>
      </c>
    </row>
    <row r="571" spans="2:2">
      <c r="B571" s="73" t="s">
        <v>327</v>
      </c>
    </row>
    <row r="572" spans="2:2">
      <c r="B572" s="73" t="s">
        <v>327</v>
      </c>
    </row>
    <row r="573" spans="2:2">
      <c r="B573" s="73" t="s">
        <v>327</v>
      </c>
    </row>
    <row r="574" spans="2:2">
      <c r="B574" s="73" t="s">
        <v>327</v>
      </c>
    </row>
    <row r="575" spans="2:2">
      <c r="B575" s="73" t="s">
        <v>327</v>
      </c>
    </row>
    <row r="576" spans="2:2">
      <c r="B576" s="73" t="s">
        <v>327</v>
      </c>
    </row>
    <row r="577" spans="2:2">
      <c r="B577" s="73" t="s">
        <v>327</v>
      </c>
    </row>
    <row r="578" spans="2:2">
      <c r="B578" s="73" t="s">
        <v>327</v>
      </c>
    </row>
    <row r="579" spans="2:2">
      <c r="B579" s="73" t="s">
        <v>327</v>
      </c>
    </row>
    <row r="580" spans="2:2">
      <c r="B580" s="73" t="s">
        <v>327</v>
      </c>
    </row>
    <row r="581" spans="2:2">
      <c r="B581" s="73" t="s">
        <v>327</v>
      </c>
    </row>
    <row r="582" spans="2:2">
      <c r="B582" s="73" t="s">
        <v>327</v>
      </c>
    </row>
    <row r="583" spans="2:2">
      <c r="B583" s="73" t="s">
        <v>327</v>
      </c>
    </row>
    <row r="584" spans="2:2">
      <c r="B584" s="73" t="s">
        <v>327</v>
      </c>
    </row>
    <row r="585" spans="2:2">
      <c r="B585" s="73" t="s">
        <v>327</v>
      </c>
    </row>
    <row r="586" spans="2:2">
      <c r="B586" s="73" t="s">
        <v>327</v>
      </c>
    </row>
    <row r="587" spans="2:2">
      <c r="B587" s="73" t="s">
        <v>327</v>
      </c>
    </row>
    <row r="588" spans="2:2">
      <c r="B588" s="73" t="s">
        <v>327</v>
      </c>
    </row>
    <row r="589" spans="2:2">
      <c r="B589" s="73" t="s">
        <v>327</v>
      </c>
    </row>
    <row r="590" spans="2:2">
      <c r="B590" s="73" t="s">
        <v>327</v>
      </c>
    </row>
    <row r="591" spans="2:2">
      <c r="B591" s="73" t="s">
        <v>327</v>
      </c>
    </row>
    <row r="592" spans="2:2">
      <c r="B592" s="73" t="s">
        <v>327</v>
      </c>
    </row>
    <row r="593" spans="2:2">
      <c r="B593" s="73" t="s">
        <v>327</v>
      </c>
    </row>
    <row r="594" spans="2:2">
      <c r="B594" s="73" t="s">
        <v>327</v>
      </c>
    </row>
    <row r="595" spans="2:2">
      <c r="B595" s="73" t="s">
        <v>327</v>
      </c>
    </row>
    <row r="596" spans="2:2">
      <c r="B596" s="73" t="s">
        <v>327</v>
      </c>
    </row>
    <row r="597" spans="2:2">
      <c r="B597" s="73" t="s">
        <v>327</v>
      </c>
    </row>
    <row r="598" spans="2:2">
      <c r="B598" s="73" t="s">
        <v>327</v>
      </c>
    </row>
    <row r="599" spans="2:2">
      <c r="B599" s="73" t="s">
        <v>327</v>
      </c>
    </row>
    <row r="600" spans="2:2">
      <c r="B600" s="73" t="s">
        <v>327</v>
      </c>
    </row>
    <row r="601" spans="2:2">
      <c r="B601" s="73" t="s">
        <v>327</v>
      </c>
    </row>
    <row r="602" spans="2:2">
      <c r="B602" s="73" t="s">
        <v>327</v>
      </c>
    </row>
    <row r="603" spans="2:2">
      <c r="B603" s="73" t="s">
        <v>327</v>
      </c>
    </row>
    <row r="604" spans="2:2">
      <c r="B604" s="73" t="s">
        <v>327</v>
      </c>
    </row>
    <row r="605" spans="2:2">
      <c r="B605" s="73" t="s">
        <v>327</v>
      </c>
    </row>
    <row r="606" spans="2:2">
      <c r="B606" s="73" t="s">
        <v>327</v>
      </c>
    </row>
    <row r="607" spans="2:2">
      <c r="B607" s="73" t="s">
        <v>327</v>
      </c>
    </row>
    <row r="608" spans="2:2">
      <c r="B608" s="73" t="s">
        <v>327</v>
      </c>
    </row>
    <row r="609" spans="2:2">
      <c r="B609" s="73" t="s">
        <v>327</v>
      </c>
    </row>
    <row r="610" spans="2:2">
      <c r="B610" s="73" t="s">
        <v>327</v>
      </c>
    </row>
    <row r="611" spans="2:2">
      <c r="B611" s="73" t="s">
        <v>327</v>
      </c>
    </row>
    <row r="612" spans="2:2">
      <c r="B612" s="73" t="s">
        <v>327</v>
      </c>
    </row>
    <row r="613" spans="2:2">
      <c r="B613" s="73" t="s">
        <v>327</v>
      </c>
    </row>
    <row r="614" spans="2:2">
      <c r="B614" s="73" t="s">
        <v>327</v>
      </c>
    </row>
    <row r="615" spans="2:2">
      <c r="B615" s="73" t="s">
        <v>327</v>
      </c>
    </row>
    <row r="616" spans="2:2">
      <c r="B616" s="73" t="s">
        <v>327</v>
      </c>
    </row>
    <row r="617" spans="2:2">
      <c r="B617" s="73" t="s">
        <v>327</v>
      </c>
    </row>
    <row r="618" spans="2:2">
      <c r="B618" s="73" t="s">
        <v>327</v>
      </c>
    </row>
    <row r="619" spans="2:2">
      <c r="B619" s="73" t="s">
        <v>327</v>
      </c>
    </row>
    <row r="620" spans="2:2">
      <c r="B620" s="73" t="s">
        <v>327</v>
      </c>
    </row>
    <row r="621" spans="2:2">
      <c r="B621" s="73" t="s">
        <v>327</v>
      </c>
    </row>
    <row r="622" spans="2:2">
      <c r="B622" s="73" t="s">
        <v>327</v>
      </c>
    </row>
    <row r="623" spans="2:2">
      <c r="B623" s="73" t="s">
        <v>327</v>
      </c>
    </row>
    <row r="624" spans="2:2">
      <c r="B624" s="73" t="s">
        <v>327</v>
      </c>
    </row>
    <row r="625" spans="2:2">
      <c r="B625" s="73" t="s">
        <v>327</v>
      </c>
    </row>
    <row r="626" spans="2:2">
      <c r="B626" s="73" t="s">
        <v>327</v>
      </c>
    </row>
    <row r="627" spans="2:2">
      <c r="B627" s="73" t="s">
        <v>327</v>
      </c>
    </row>
    <row r="628" spans="2:2">
      <c r="B628" s="73" t="s">
        <v>327</v>
      </c>
    </row>
    <row r="629" spans="2:2">
      <c r="B629" s="73" t="s">
        <v>327</v>
      </c>
    </row>
    <row r="630" spans="2:2">
      <c r="B630" s="73" t="s">
        <v>327</v>
      </c>
    </row>
    <row r="631" spans="2:2">
      <c r="B631" s="73" t="s">
        <v>327</v>
      </c>
    </row>
    <row r="632" spans="2:2">
      <c r="B632" s="73" t="s">
        <v>327</v>
      </c>
    </row>
    <row r="633" spans="2:2">
      <c r="B633" s="73" t="s">
        <v>327</v>
      </c>
    </row>
    <row r="634" spans="2:2">
      <c r="B634" s="73" t="s">
        <v>327</v>
      </c>
    </row>
    <row r="635" spans="2:2">
      <c r="B635" s="73" t="s">
        <v>327</v>
      </c>
    </row>
    <row r="636" spans="2:2">
      <c r="B636" s="73" t="s">
        <v>327</v>
      </c>
    </row>
    <row r="637" spans="2:2">
      <c r="B637" s="73" t="s">
        <v>327</v>
      </c>
    </row>
    <row r="638" spans="2:2">
      <c r="B638" s="73" t="s">
        <v>327</v>
      </c>
    </row>
    <row r="639" spans="2:2">
      <c r="B639" s="73" t="s">
        <v>327</v>
      </c>
    </row>
    <row r="640" spans="2:2">
      <c r="B640" s="73" t="s">
        <v>327</v>
      </c>
    </row>
    <row r="641" spans="2:2">
      <c r="B641" s="73" t="s">
        <v>327</v>
      </c>
    </row>
    <row r="642" spans="2:2">
      <c r="B642" s="73" t="s">
        <v>327</v>
      </c>
    </row>
    <row r="643" spans="2:2">
      <c r="B643" s="73" t="s">
        <v>327</v>
      </c>
    </row>
    <row r="644" spans="2:2">
      <c r="B644" s="73" t="s">
        <v>327</v>
      </c>
    </row>
    <row r="645" spans="2:2">
      <c r="B645" s="73" t="s">
        <v>327</v>
      </c>
    </row>
    <row r="646" spans="2:2">
      <c r="B646" s="73" t="s">
        <v>327</v>
      </c>
    </row>
    <row r="647" spans="2:2">
      <c r="B647" s="73" t="s">
        <v>327</v>
      </c>
    </row>
    <row r="648" spans="2:2">
      <c r="B648" s="73" t="s">
        <v>327</v>
      </c>
    </row>
    <row r="649" spans="2:2">
      <c r="B649" s="73" t="s">
        <v>327</v>
      </c>
    </row>
    <row r="650" spans="2:2">
      <c r="B650" s="73" t="s">
        <v>327</v>
      </c>
    </row>
    <row r="651" spans="2:2">
      <c r="B651" s="73" t="s">
        <v>327</v>
      </c>
    </row>
    <row r="652" spans="2:2">
      <c r="B652" s="73" t="s">
        <v>327</v>
      </c>
    </row>
    <row r="653" spans="2:2">
      <c r="B653" s="73" t="s">
        <v>327</v>
      </c>
    </row>
    <row r="654" spans="2:2">
      <c r="B654" s="73" t="s">
        <v>327</v>
      </c>
    </row>
    <row r="655" spans="2:2">
      <c r="B655" s="73" t="s">
        <v>327</v>
      </c>
    </row>
    <row r="656" spans="2:2">
      <c r="B656" s="73" t="s">
        <v>327</v>
      </c>
    </row>
    <row r="657" spans="2:2">
      <c r="B657" s="73" t="s">
        <v>327</v>
      </c>
    </row>
    <row r="658" spans="2:2">
      <c r="B658" s="73" t="s">
        <v>327</v>
      </c>
    </row>
    <row r="659" spans="2:2">
      <c r="B659" s="73" t="s">
        <v>327</v>
      </c>
    </row>
    <row r="660" spans="2:2">
      <c r="B660" s="73" t="s">
        <v>327</v>
      </c>
    </row>
    <row r="661" spans="2:2">
      <c r="B661" s="73" t="s">
        <v>327</v>
      </c>
    </row>
    <row r="662" spans="2:2">
      <c r="B662" s="73" t="s">
        <v>327</v>
      </c>
    </row>
    <row r="663" spans="2:2">
      <c r="B663" s="73" t="s">
        <v>327</v>
      </c>
    </row>
    <row r="664" spans="2:2">
      <c r="B664" s="73" t="s">
        <v>327</v>
      </c>
    </row>
    <row r="665" spans="2:2">
      <c r="B665" s="73" t="s">
        <v>327</v>
      </c>
    </row>
    <row r="666" spans="2:2">
      <c r="B666" s="73" t="s">
        <v>327</v>
      </c>
    </row>
    <row r="667" spans="2:2">
      <c r="B667" s="73" t="s">
        <v>327</v>
      </c>
    </row>
    <row r="668" spans="2:2">
      <c r="B668" s="73" t="s">
        <v>327</v>
      </c>
    </row>
    <row r="669" spans="2:2">
      <c r="B669" s="73" t="s">
        <v>327</v>
      </c>
    </row>
    <row r="670" spans="2:2">
      <c r="B670" s="73" t="s">
        <v>327</v>
      </c>
    </row>
    <row r="671" spans="2:2">
      <c r="B671" s="73" t="s">
        <v>327</v>
      </c>
    </row>
    <row r="672" spans="2:2">
      <c r="B672" s="73" t="s">
        <v>327</v>
      </c>
    </row>
    <row r="673" spans="2:2">
      <c r="B673" s="73" t="s">
        <v>327</v>
      </c>
    </row>
    <row r="674" spans="2:2">
      <c r="B674" s="73" t="s">
        <v>327</v>
      </c>
    </row>
    <row r="675" spans="2:2">
      <c r="B675" s="73" t="s">
        <v>327</v>
      </c>
    </row>
    <row r="676" spans="2:2">
      <c r="B676" s="73" t="s">
        <v>327</v>
      </c>
    </row>
    <row r="677" spans="2:2">
      <c r="B677" s="73" t="s">
        <v>327</v>
      </c>
    </row>
    <row r="678" spans="2:2">
      <c r="B678" s="73" t="s">
        <v>327</v>
      </c>
    </row>
    <row r="679" spans="2:2">
      <c r="B679" s="73" t="s">
        <v>327</v>
      </c>
    </row>
    <row r="680" spans="2:2">
      <c r="B680" s="73" t="s">
        <v>327</v>
      </c>
    </row>
    <row r="681" spans="2:2">
      <c r="B681" s="73" t="s">
        <v>327</v>
      </c>
    </row>
    <row r="682" spans="2:2">
      <c r="B682" s="73" t="s">
        <v>327</v>
      </c>
    </row>
    <row r="683" spans="2:2">
      <c r="B683" s="73" t="s">
        <v>327</v>
      </c>
    </row>
    <row r="684" spans="2:2">
      <c r="B684" s="73" t="s">
        <v>327</v>
      </c>
    </row>
    <row r="685" spans="2:2">
      <c r="B685" s="73" t="s">
        <v>327</v>
      </c>
    </row>
    <row r="686" spans="2:2">
      <c r="B686" s="73" t="s">
        <v>327</v>
      </c>
    </row>
    <row r="687" spans="2:2">
      <c r="B687" s="73" t="s">
        <v>327</v>
      </c>
    </row>
    <row r="688" spans="2:2">
      <c r="B688" s="73" t="s">
        <v>327</v>
      </c>
    </row>
    <row r="689" spans="2:2">
      <c r="B689" s="73" t="s">
        <v>327</v>
      </c>
    </row>
    <row r="690" spans="2:2">
      <c r="B690" s="73" t="s">
        <v>327</v>
      </c>
    </row>
    <row r="691" spans="2:2">
      <c r="B691" s="73" t="s">
        <v>327</v>
      </c>
    </row>
    <row r="692" spans="2:2">
      <c r="B692" s="73" t="s">
        <v>327</v>
      </c>
    </row>
    <row r="693" spans="2:2">
      <c r="B693" s="73" t="s">
        <v>327</v>
      </c>
    </row>
    <row r="694" spans="2:2">
      <c r="B694" s="73" t="s">
        <v>327</v>
      </c>
    </row>
    <row r="695" spans="2:2">
      <c r="B695" s="73" t="s">
        <v>327</v>
      </c>
    </row>
    <row r="696" spans="2:2">
      <c r="B696" s="73" t="s">
        <v>327</v>
      </c>
    </row>
    <row r="697" spans="2:2">
      <c r="B697" s="73" t="s">
        <v>327</v>
      </c>
    </row>
    <row r="698" spans="2:2">
      <c r="B698" s="73" t="s">
        <v>327</v>
      </c>
    </row>
    <row r="699" spans="2:2">
      <c r="B699" s="73" t="s">
        <v>327</v>
      </c>
    </row>
    <row r="700" spans="2:2">
      <c r="B700" s="73" t="s">
        <v>327</v>
      </c>
    </row>
    <row r="701" spans="2:2">
      <c r="B701" s="73" t="s">
        <v>327</v>
      </c>
    </row>
    <row r="702" spans="2:2">
      <c r="B702" s="73" t="s">
        <v>327</v>
      </c>
    </row>
    <row r="703" spans="2:2">
      <c r="B703" s="73" t="s">
        <v>327</v>
      </c>
    </row>
    <row r="704" spans="2:2">
      <c r="B704" s="73" t="s">
        <v>327</v>
      </c>
    </row>
    <row r="705" spans="2:2">
      <c r="B705" s="73" t="s">
        <v>327</v>
      </c>
    </row>
    <row r="706" spans="2:2">
      <c r="B706" s="73" t="s">
        <v>327</v>
      </c>
    </row>
    <row r="707" spans="2:2">
      <c r="B707" s="73" t="s">
        <v>327</v>
      </c>
    </row>
    <row r="708" spans="2:2">
      <c r="B708" s="73" t="s">
        <v>327</v>
      </c>
    </row>
    <row r="709" spans="2:2">
      <c r="B709" s="73" t="s">
        <v>327</v>
      </c>
    </row>
    <row r="710" spans="2:2">
      <c r="B710" s="73" t="s">
        <v>327</v>
      </c>
    </row>
    <row r="711" spans="2:2">
      <c r="B711" s="73" t="s">
        <v>327</v>
      </c>
    </row>
    <row r="712" spans="2:2">
      <c r="B712" s="73" t="s">
        <v>327</v>
      </c>
    </row>
    <row r="713" spans="2:2">
      <c r="B713" s="73" t="s">
        <v>327</v>
      </c>
    </row>
    <row r="714" spans="2:2">
      <c r="B714" s="73" t="s">
        <v>327</v>
      </c>
    </row>
    <row r="715" spans="2:2">
      <c r="B715" s="73" t="s">
        <v>327</v>
      </c>
    </row>
    <row r="716" spans="2:2">
      <c r="B716" s="73" t="s">
        <v>327</v>
      </c>
    </row>
    <row r="717" spans="2:2">
      <c r="B717" s="73" t="s">
        <v>327</v>
      </c>
    </row>
    <row r="718" spans="2:2">
      <c r="B718" s="73" t="s">
        <v>327</v>
      </c>
    </row>
    <row r="719" spans="2:2">
      <c r="B719" s="73" t="s">
        <v>327</v>
      </c>
    </row>
    <row r="720" spans="2:2">
      <c r="B720" s="73" t="s">
        <v>327</v>
      </c>
    </row>
    <row r="721" spans="2:2">
      <c r="B721" s="73" t="s">
        <v>327</v>
      </c>
    </row>
    <row r="722" spans="2:2">
      <c r="B722" s="73" t="s">
        <v>327</v>
      </c>
    </row>
    <row r="723" spans="2:2">
      <c r="B723" s="73" t="s">
        <v>327</v>
      </c>
    </row>
    <row r="724" spans="2:2">
      <c r="B724" s="73" t="s">
        <v>327</v>
      </c>
    </row>
    <row r="725" spans="2:2">
      <c r="B725" s="73" t="s">
        <v>327</v>
      </c>
    </row>
    <row r="726" spans="2:2">
      <c r="B726" s="73" t="s">
        <v>327</v>
      </c>
    </row>
    <row r="727" spans="2:2">
      <c r="B727" s="73" t="s">
        <v>327</v>
      </c>
    </row>
    <row r="728" spans="2:2">
      <c r="B728" s="73" t="s">
        <v>327</v>
      </c>
    </row>
    <row r="729" spans="2:2">
      <c r="B729" s="73" t="s">
        <v>327</v>
      </c>
    </row>
    <row r="730" spans="2:2">
      <c r="B730" s="73" t="s">
        <v>327</v>
      </c>
    </row>
    <row r="731" spans="2:2">
      <c r="B731" s="73" t="s">
        <v>327</v>
      </c>
    </row>
    <row r="732" spans="2:2">
      <c r="B732" s="73" t="s">
        <v>327</v>
      </c>
    </row>
    <row r="733" spans="2:2">
      <c r="B733" s="73" t="s">
        <v>327</v>
      </c>
    </row>
    <row r="734" spans="2:2">
      <c r="B734" s="73" t="s">
        <v>327</v>
      </c>
    </row>
    <row r="735" spans="2:2">
      <c r="B735" s="73" t="s">
        <v>327</v>
      </c>
    </row>
    <row r="736" spans="2:2">
      <c r="B736" s="73" t="s">
        <v>327</v>
      </c>
    </row>
    <row r="737" spans="2:2">
      <c r="B737" s="73" t="s">
        <v>327</v>
      </c>
    </row>
    <row r="738" spans="2:2">
      <c r="B738" s="73" t="s">
        <v>327</v>
      </c>
    </row>
    <row r="739" spans="2:2">
      <c r="B739" s="73" t="s">
        <v>327</v>
      </c>
    </row>
    <row r="740" spans="2:2">
      <c r="B740" s="73" t="s">
        <v>327</v>
      </c>
    </row>
    <row r="741" spans="2:2">
      <c r="B741" s="73" t="s">
        <v>327</v>
      </c>
    </row>
    <row r="742" spans="2:2">
      <c r="B742" s="73" t="s">
        <v>327</v>
      </c>
    </row>
    <row r="743" spans="2:2">
      <c r="B743" s="73" t="s">
        <v>327</v>
      </c>
    </row>
    <row r="744" spans="2:2">
      <c r="B744" s="73" t="s">
        <v>327</v>
      </c>
    </row>
    <row r="745" spans="2:2">
      <c r="B745" s="73" t="s">
        <v>327</v>
      </c>
    </row>
    <row r="746" spans="2:2">
      <c r="B746" s="73" t="s">
        <v>327</v>
      </c>
    </row>
    <row r="747" spans="2:2">
      <c r="B747" s="73" t="s">
        <v>327</v>
      </c>
    </row>
    <row r="748" spans="2:2">
      <c r="B748" s="73" t="s">
        <v>327</v>
      </c>
    </row>
    <row r="749" spans="2:2">
      <c r="B749" s="73" t="s">
        <v>327</v>
      </c>
    </row>
    <row r="750" spans="2:2">
      <c r="B750" s="73" t="s">
        <v>327</v>
      </c>
    </row>
    <row r="751" spans="2:2">
      <c r="B751" s="73" t="s">
        <v>327</v>
      </c>
    </row>
    <row r="752" spans="2:2">
      <c r="B752" s="73" t="s">
        <v>327</v>
      </c>
    </row>
    <row r="753" spans="2:2">
      <c r="B753" s="73" t="s">
        <v>327</v>
      </c>
    </row>
    <row r="754" spans="2:2">
      <c r="B754" s="73" t="s">
        <v>327</v>
      </c>
    </row>
    <row r="755" spans="2:2">
      <c r="B755" s="73" t="s">
        <v>327</v>
      </c>
    </row>
    <row r="756" spans="2:2">
      <c r="B756" s="73" t="s">
        <v>327</v>
      </c>
    </row>
    <row r="757" spans="2:2">
      <c r="B757" s="73" t="s">
        <v>327</v>
      </c>
    </row>
    <row r="758" spans="2:2">
      <c r="B758" s="73" t="s">
        <v>327</v>
      </c>
    </row>
    <row r="759" spans="2:2">
      <c r="B759" s="73" t="s">
        <v>327</v>
      </c>
    </row>
    <row r="760" spans="2:2">
      <c r="B760" s="73" t="s">
        <v>327</v>
      </c>
    </row>
    <row r="761" spans="2:2">
      <c r="B761" s="73" t="s">
        <v>327</v>
      </c>
    </row>
    <row r="762" spans="2:2">
      <c r="B762" s="73" t="s">
        <v>327</v>
      </c>
    </row>
    <row r="763" spans="2:2">
      <c r="B763" s="73" t="s">
        <v>327</v>
      </c>
    </row>
    <row r="764" spans="2:2">
      <c r="B764" s="73" t="s">
        <v>327</v>
      </c>
    </row>
    <row r="765" spans="2:2">
      <c r="B765" s="73" t="s">
        <v>327</v>
      </c>
    </row>
    <row r="766" spans="2:2">
      <c r="B766" s="73" t="s">
        <v>327</v>
      </c>
    </row>
    <row r="767" spans="2:2">
      <c r="B767" s="73" t="s">
        <v>327</v>
      </c>
    </row>
    <row r="768" spans="2:2">
      <c r="B768" s="73" t="s">
        <v>327</v>
      </c>
    </row>
    <row r="769" spans="2:2">
      <c r="B769" s="73" t="s">
        <v>327</v>
      </c>
    </row>
    <row r="770" spans="2:2">
      <c r="B770" s="73" t="s">
        <v>327</v>
      </c>
    </row>
    <row r="771" spans="2:2">
      <c r="B771" s="73" t="s">
        <v>327</v>
      </c>
    </row>
    <row r="772" spans="2:2">
      <c r="B772" s="73" t="s">
        <v>327</v>
      </c>
    </row>
    <row r="773" spans="2:2">
      <c r="B773" s="73" t="s">
        <v>327</v>
      </c>
    </row>
    <row r="774" spans="2:2">
      <c r="B774" s="73" t="s">
        <v>327</v>
      </c>
    </row>
    <row r="775" spans="2:2">
      <c r="B775" s="73" t="s">
        <v>327</v>
      </c>
    </row>
    <row r="776" spans="2:2">
      <c r="B776" s="73" t="s">
        <v>327</v>
      </c>
    </row>
    <row r="777" spans="2:2">
      <c r="B777" s="73" t="s">
        <v>327</v>
      </c>
    </row>
    <row r="778" spans="2:2">
      <c r="B778" s="73" t="s">
        <v>327</v>
      </c>
    </row>
    <row r="779" spans="2:2">
      <c r="B779" s="73" t="s">
        <v>327</v>
      </c>
    </row>
    <row r="780" spans="2:2">
      <c r="B780" s="73" t="s">
        <v>327</v>
      </c>
    </row>
    <row r="781" spans="2:2">
      <c r="B781" s="73" t="s">
        <v>327</v>
      </c>
    </row>
    <row r="782" spans="2:2">
      <c r="B782" s="73" t="s">
        <v>327</v>
      </c>
    </row>
    <row r="783" spans="2:2">
      <c r="B783" s="73" t="s">
        <v>327</v>
      </c>
    </row>
    <row r="784" spans="2:2">
      <c r="B784" s="73" t="s">
        <v>327</v>
      </c>
    </row>
    <row r="785" spans="2:2">
      <c r="B785" s="73" t="s">
        <v>327</v>
      </c>
    </row>
    <row r="786" spans="2:2">
      <c r="B786" s="73" t="s">
        <v>327</v>
      </c>
    </row>
    <row r="787" spans="2:2">
      <c r="B787" s="73" t="s">
        <v>327</v>
      </c>
    </row>
    <row r="788" spans="2:2">
      <c r="B788" s="73" t="s">
        <v>327</v>
      </c>
    </row>
    <row r="789" spans="2:2">
      <c r="B789" s="73" t="s">
        <v>327</v>
      </c>
    </row>
    <row r="790" spans="2:2">
      <c r="B790" s="73" t="s">
        <v>327</v>
      </c>
    </row>
    <row r="791" spans="2:2">
      <c r="B791" s="73" t="s">
        <v>327</v>
      </c>
    </row>
    <row r="792" spans="2:2">
      <c r="B792" s="73" t="s">
        <v>327</v>
      </c>
    </row>
    <row r="793" spans="2:2">
      <c r="B793" s="73" t="s">
        <v>327</v>
      </c>
    </row>
    <row r="794" spans="2:2">
      <c r="B794" s="73" t="s">
        <v>327</v>
      </c>
    </row>
    <row r="795" spans="2:2">
      <c r="B795" s="73" t="s">
        <v>327</v>
      </c>
    </row>
    <row r="796" spans="2:2">
      <c r="B796" s="73" t="s">
        <v>327</v>
      </c>
    </row>
    <row r="797" spans="2:2">
      <c r="B797" s="73" t="s">
        <v>327</v>
      </c>
    </row>
    <row r="798" spans="2:2">
      <c r="B798" s="73" t="s">
        <v>327</v>
      </c>
    </row>
    <row r="799" spans="2:2">
      <c r="B799" s="73" t="s">
        <v>327</v>
      </c>
    </row>
    <row r="800" spans="2:2">
      <c r="B800" s="73" t="s">
        <v>327</v>
      </c>
    </row>
    <row r="801" spans="2:2">
      <c r="B801" s="73" t="s">
        <v>327</v>
      </c>
    </row>
    <row r="802" spans="2:2">
      <c r="B802" s="73" t="s">
        <v>327</v>
      </c>
    </row>
    <row r="803" spans="2:2">
      <c r="B803" s="73" t="s">
        <v>327</v>
      </c>
    </row>
    <row r="804" spans="2:2">
      <c r="B804" s="73" t="s">
        <v>327</v>
      </c>
    </row>
    <row r="805" spans="2:2">
      <c r="B805" s="73" t="s">
        <v>327</v>
      </c>
    </row>
    <row r="806" spans="2:2">
      <c r="B806" s="73" t="s">
        <v>327</v>
      </c>
    </row>
    <row r="807" spans="2:2">
      <c r="B807" s="73" t="s">
        <v>327</v>
      </c>
    </row>
    <row r="808" spans="2:2">
      <c r="B808" s="73" t="s">
        <v>327</v>
      </c>
    </row>
    <row r="809" spans="2:2">
      <c r="B809" s="73" t="s">
        <v>327</v>
      </c>
    </row>
    <row r="810" spans="2:2">
      <c r="B810" s="73" t="s">
        <v>327</v>
      </c>
    </row>
    <row r="811" spans="2:2">
      <c r="B811" s="73" t="s">
        <v>327</v>
      </c>
    </row>
    <row r="812" spans="2:2">
      <c r="B812" s="73" t="s">
        <v>327</v>
      </c>
    </row>
    <row r="813" spans="2:2">
      <c r="B813" s="73" t="s">
        <v>327</v>
      </c>
    </row>
    <row r="814" spans="2:2">
      <c r="B814" s="73" t="s">
        <v>327</v>
      </c>
    </row>
    <row r="815" spans="2:2">
      <c r="B815" s="73" t="s">
        <v>327</v>
      </c>
    </row>
    <row r="816" spans="2:2">
      <c r="B816" s="73" t="s">
        <v>327</v>
      </c>
    </row>
    <row r="817" spans="2:2">
      <c r="B817" s="73" t="s">
        <v>327</v>
      </c>
    </row>
    <row r="818" spans="2:2">
      <c r="B818" s="73" t="s">
        <v>327</v>
      </c>
    </row>
    <row r="819" spans="2:2">
      <c r="B819" s="73" t="s">
        <v>327</v>
      </c>
    </row>
    <row r="820" spans="2:2">
      <c r="B820" s="73" t="s">
        <v>327</v>
      </c>
    </row>
    <row r="821" spans="2:2">
      <c r="B821" s="73" t="s">
        <v>327</v>
      </c>
    </row>
    <row r="822" spans="2:2">
      <c r="B822" s="73" t="s">
        <v>327</v>
      </c>
    </row>
    <row r="823" spans="2:2">
      <c r="B823" s="73" t="s">
        <v>327</v>
      </c>
    </row>
    <row r="824" spans="2:2">
      <c r="B824" s="73" t="s">
        <v>327</v>
      </c>
    </row>
    <row r="825" spans="2:2">
      <c r="B825" s="73" t="s">
        <v>327</v>
      </c>
    </row>
    <row r="826" spans="2:2">
      <c r="B826" s="73" t="s">
        <v>327</v>
      </c>
    </row>
    <row r="827" spans="2:2">
      <c r="B827" s="73" t="s">
        <v>327</v>
      </c>
    </row>
    <row r="828" spans="2:2">
      <c r="B828" s="73" t="s">
        <v>327</v>
      </c>
    </row>
    <row r="829" spans="2:2">
      <c r="B829" s="73" t="s">
        <v>327</v>
      </c>
    </row>
    <row r="830" spans="2:2">
      <c r="B830" s="73" t="s">
        <v>327</v>
      </c>
    </row>
    <row r="831" spans="2:2">
      <c r="B831" s="73" t="s">
        <v>327</v>
      </c>
    </row>
    <row r="832" spans="2:2">
      <c r="B832" s="73" t="s">
        <v>327</v>
      </c>
    </row>
    <row r="833" spans="2:2">
      <c r="B833" s="73" t="s">
        <v>327</v>
      </c>
    </row>
    <row r="834" spans="2:2">
      <c r="B834" s="73" t="s">
        <v>327</v>
      </c>
    </row>
    <row r="835" spans="2:2">
      <c r="B835" s="73" t="s">
        <v>327</v>
      </c>
    </row>
    <row r="836" spans="2:2">
      <c r="B836" s="73" t="s">
        <v>327</v>
      </c>
    </row>
    <row r="837" spans="2:2">
      <c r="B837" s="73" t="s">
        <v>327</v>
      </c>
    </row>
    <row r="838" spans="2:2">
      <c r="B838" s="73" t="s">
        <v>327</v>
      </c>
    </row>
    <row r="839" spans="2:2">
      <c r="B839" s="73" t="s">
        <v>327</v>
      </c>
    </row>
    <row r="840" spans="2:2">
      <c r="B840" s="73" t="s">
        <v>327</v>
      </c>
    </row>
    <row r="841" spans="2:2">
      <c r="B841" s="73" t="s">
        <v>327</v>
      </c>
    </row>
    <row r="842" spans="2:2">
      <c r="B842" s="73" t="s">
        <v>327</v>
      </c>
    </row>
    <row r="843" spans="2:2">
      <c r="B843" s="73" t="s">
        <v>327</v>
      </c>
    </row>
    <row r="844" spans="2:2">
      <c r="B844" s="73" t="s">
        <v>327</v>
      </c>
    </row>
    <row r="845" spans="2:2">
      <c r="B845" s="73" t="s">
        <v>327</v>
      </c>
    </row>
    <row r="846" spans="2:2">
      <c r="B846" s="73" t="s">
        <v>327</v>
      </c>
    </row>
    <row r="847" spans="2:2">
      <c r="B847" s="73" t="s">
        <v>327</v>
      </c>
    </row>
    <row r="848" spans="2:2">
      <c r="B848" s="73" t="s">
        <v>327</v>
      </c>
    </row>
    <row r="849" spans="2:2">
      <c r="B849" s="73" t="s">
        <v>327</v>
      </c>
    </row>
    <row r="850" spans="2:2">
      <c r="B850" s="73" t="s">
        <v>327</v>
      </c>
    </row>
    <row r="851" spans="2:2">
      <c r="B851" s="73" t="s">
        <v>327</v>
      </c>
    </row>
    <row r="852" spans="2:2">
      <c r="B852" s="73" t="s">
        <v>327</v>
      </c>
    </row>
    <row r="853" spans="2:2">
      <c r="B853" s="73" t="s">
        <v>327</v>
      </c>
    </row>
    <row r="854" spans="2:2">
      <c r="B854" s="73" t="s">
        <v>327</v>
      </c>
    </row>
    <row r="855" spans="2:2">
      <c r="B855" s="73" t="s">
        <v>327</v>
      </c>
    </row>
    <row r="856" spans="2:2">
      <c r="B856" s="73" t="s">
        <v>327</v>
      </c>
    </row>
    <row r="857" spans="2:2">
      <c r="B857" s="73" t="s">
        <v>327</v>
      </c>
    </row>
    <row r="858" spans="2:2">
      <c r="B858" s="73" t="s">
        <v>327</v>
      </c>
    </row>
    <row r="859" spans="2:2">
      <c r="B859" s="73" t="s">
        <v>327</v>
      </c>
    </row>
    <row r="860" spans="2:2">
      <c r="B860" s="73" t="s">
        <v>327</v>
      </c>
    </row>
    <row r="861" spans="2:2">
      <c r="B861" s="73" t="s">
        <v>327</v>
      </c>
    </row>
    <row r="862" spans="2:2">
      <c r="B862" s="73" t="s">
        <v>327</v>
      </c>
    </row>
    <row r="863" spans="2:2">
      <c r="B863" s="73" t="s">
        <v>327</v>
      </c>
    </row>
    <row r="864" spans="2:2">
      <c r="B864" s="73" t="s">
        <v>327</v>
      </c>
    </row>
    <row r="865" spans="2:2">
      <c r="B865" s="73" t="s">
        <v>327</v>
      </c>
    </row>
    <row r="866" spans="2:2">
      <c r="B866" s="73" t="s">
        <v>327</v>
      </c>
    </row>
    <row r="867" spans="2:2">
      <c r="B867" s="73" t="s">
        <v>327</v>
      </c>
    </row>
    <row r="868" spans="2:2">
      <c r="B868" s="73" t="s">
        <v>327</v>
      </c>
    </row>
    <row r="869" spans="2:2">
      <c r="B869" s="73" t="s">
        <v>327</v>
      </c>
    </row>
    <row r="870" spans="2:2">
      <c r="B870" s="73" t="s">
        <v>327</v>
      </c>
    </row>
    <row r="871" spans="2:2">
      <c r="B871" s="73" t="s">
        <v>327</v>
      </c>
    </row>
    <row r="872" spans="2:2">
      <c r="B872" s="73" t="s">
        <v>327</v>
      </c>
    </row>
    <row r="873" spans="2:2">
      <c r="B873" s="73" t="s">
        <v>327</v>
      </c>
    </row>
    <row r="874" spans="2:2">
      <c r="B874" s="73" t="s">
        <v>327</v>
      </c>
    </row>
    <row r="875" spans="2:2">
      <c r="B875" s="73" t="s">
        <v>327</v>
      </c>
    </row>
    <row r="876" spans="2:2">
      <c r="B876" s="73" t="s">
        <v>327</v>
      </c>
    </row>
    <row r="877" spans="2:2">
      <c r="B877" s="73" t="s">
        <v>327</v>
      </c>
    </row>
    <row r="878" spans="2:2">
      <c r="B878" s="73" t="s">
        <v>327</v>
      </c>
    </row>
    <row r="879" spans="2:2">
      <c r="B879" s="73" t="s">
        <v>327</v>
      </c>
    </row>
    <row r="880" spans="2:2">
      <c r="B880" s="73" t="s">
        <v>327</v>
      </c>
    </row>
    <row r="881" spans="2:2">
      <c r="B881" s="73" t="s">
        <v>327</v>
      </c>
    </row>
    <row r="882" spans="2:2">
      <c r="B882" s="73" t="s">
        <v>327</v>
      </c>
    </row>
    <row r="883" spans="2:2">
      <c r="B883" s="73" t="s">
        <v>327</v>
      </c>
    </row>
    <row r="884" spans="2:2">
      <c r="B884" s="73" t="s">
        <v>327</v>
      </c>
    </row>
    <row r="885" spans="2:2">
      <c r="B885" s="73" t="s">
        <v>327</v>
      </c>
    </row>
    <row r="886" spans="2:2">
      <c r="B886" s="73" t="s">
        <v>327</v>
      </c>
    </row>
    <row r="887" spans="2:2">
      <c r="B887" s="73" t="s">
        <v>327</v>
      </c>
    </row>
    <row r="888" spans="2:2">
      <c r="B888" s="73" t="s">
        <v>327</v>
      </c>
    </row>
    <row r="889" spans="2:2">
      <c r="B889" s="73" t="s">
        <v>327</v>
      </c>
    </row>
    <row r="890" spans="2:2">
      <c r="B890" s="73" t="s">
        <v>327</v>
      </c>
    </row>
    <row r="891" spans="2:2">
      <c r="B891" s="73" t="s">
        <v>327</v>
      </c>
    </row>
    <row r="892" spans="2:2">
      <c r="B892" s="73" t="s">
        <v>327</v>
      </c>
    </row>
    <row r="893" spans="2:2">
      <c r="B893" s="73" t="s">
        <v>327</v>
      </c>
    </row>
    <row r="894" spans="2:2">
      <c r="B894" s="73" t="s">
        <v>327</v>
      </c>
    </row>
    <row r="895" spans="2:2">
      <c r="B895" s="73" t="s">
        <v>327</v>
      </c>
    </row>
    <row r="896" spans="2:2">
      <c r="B896" s="73" t="s">
        <v>327</v>
      </c>
    </row>
    <row r="897" spans="2:2">
      <c r="B897" s="73" t="s">
        <v>327</v>
      </c>
    </row>
    <row r="898" spans="2:2">
      <c r="B898" s="73" t="s">
        <v>327</v>
      </c>
    </row>
    <row r="899" spans="2:2">
      <c r="B899" s="73" t="s">
        <v>327</v>
      </c>
    </row>
    <row r="900" spans="2:2">
      <c r="B900" s="73" t="s">
        <v>327</v>
      </c>
    </row>
    <row r="901" spans="2:2">
      <c r="B901" s="73" t="s">
        <v>327</v>
      </c>
    </row>
    <row r="902" spans="2:2">
      <c r="B902" s="73" t="s">
        <v>327</v>
      </c>
    </row>
    <row r="903" spans="2:2">
      <c r="B903" s="73" t="s">
        <v>327</v>
      </c>
    </row>
    <row r="904" spans="2:2">
      <c r="B904" s="73" t="s">
        <v>327</v>
      </c>
    </row>
    <row r="905" spans="2:2">
      <c r="B905" s="73" t="s">
        <v>327</v>
      </c>
    </row>
    <row r="906" spans="2:2">
      <c r="B906" s="73" t="s">
        <v>327</v>
      </c>
    </row>
    <row r="907" spans="2:2">
      <c r="B907" s="73" t="s">
        <v>327</v>
      </c>
    </row>
    <row r="908" spans="2:2">
      <c r="B908" s="73" t="s">
        <v>327</v>
      </c>
    </row>
    <row r="909" spans="2:2">
      <c r="B909" s="73" t="s">
        <v>327</v>
      </c>
    </row>
    <row r="910" spans="2:2">
      <c r="B910" s="73" t="s">
        <v>327</v>
      </c>
    </row>
    <row r="911" spans="2:2">
      <c r="B911" s="73" t="s">
        <v>327</v>
      </c>
    </row>
    <row r="912" spans="2:2">
      <c r="B912" s="73" t="s">
        <v>327</v>
      </c>
    </row>
    <row r="913" spans="2:2">
      <c r="B913" s="73" t="s">
        <v>327</v>
      </c>
    </row>
    <row r="914" spans="2:2">
      <c r="B914" s="73" t="s">
        <v>327</v>
      </c>
    </row>
    <row r="915" spans="2:2">
      <c r="B915" s="73" t="s">
        <v>327</v>
      </c>
    </row>
    <row r="916" spans="2:2">
      <c r="B916" s="73" t="s">
        <v>327</v>
      </c>
    </row>
    <row r="917" spans="2:2">
      <c r="B917" s="73" t="s">
        <v>327</v>
      </c>
    </row>
    <row r="918" spans="2:2">
      <c r="B918" s="73" t="s">
        <v>327</v>
      </c>
    </row>
    <row r="919" spans="2:2">
      <c r="B919" s="73" t="s">
        <v>327</v>
      </c>
    </row>
    <row r="920" spans="2:2">
      <c r="B920" s="73" t="s">
        <v>327</v>
      </c>
    </row>
    <row r="921" spans="2:2">
      <c r="B921" s="73" t="s">
        <v>327</v>
      </c>
    </row>
    <row r="922" spans="2:2">
      <c r="B922" s="73" t="s">
        <v>327</v>
      </c>
    </row>
    <row r="923" spans="2:2">
      <c r="B923" s="73" t="s">
        <v>327</v>
      </c>
    </row>
    <row r="924" spans="2:2">
      <c r="B924" s="73" t="s">
        <v>327</v>
      </c>
    </row>
    <row r="925" spans="2:2">
      <c r="B925" s="73" t="s">
        <v>327</v>
      </c>
    </row>
    <row r="926" spans="2:2">
      <c r="B926" s="73" t="s">
        <v>327</v>
      </c>
    </row>
    <row r="927" spans="2:2">
      <c r="B927" s="73" t="s">
        <v>327</v>
      </c>
    </row>
    <row r="928" spans="2:2">
      <c r="B928" s="73" t="s">
        <v>327</v>
      </c>
    </row>
    <row r="929" spans="2:2">
      <c r="B929" s="73" t="s">
        <v>327</v>
      </c>
    </row>
    <row r="930" spans="2:2">
      <c r="B930" s="73" t="s">
        <v>327</v>
      </c>
    </row>
    <row r="931" spans="2:2">
      <c r="B931" s="73" t="s">
        <v>327</v>
      </c>
    </row>
    <row r="932" spans="2:2">
      <c r="B932" s="73" t="s">
        <v>327</v>
      </c>
    </row>
    <row r="933" spans="2:2">
      <c r="B933" s="73" t="s">
        <v>327</v>
      </c>
    </row>
    <row r="934" spans="2:2">
      <c r="B934" s="73" t="s">
        <v>327</v>
      </c>
    </row>
    <row r="935" spans="2:2">
      <c r="B935" s="73" t="s">
        <v>327</v>
      </c>
    </row>
    <row r="936" spans="2:2">
      <c r="B936" s="73" t="s">
        <v>327</v>
      </c>
    </row>
    <row r="937" spans="2:2">
      <c r="B937" s="73" t="s">
        <v>327</v>
      </c>
    </row>
    <row r="938" spans="2:2">
      <c r="B938" s="73" t="s">
        <v>327</v>
      </c>
    </row>
    <row r="939" spans="2:2">
      <c r="B939" s="73" t="s">
        <v>327</v>
      </c>
    </row>
    <row r="940" spans="2:2">
      <c r="B940" s="73" t="s">
        <v>327</v>
      </c>
    </row>
    <row r="941" spans="2:2">
      <c r="B941" s="73" t="s">
        <v>327</v>
      </c>
    </row>
    <row r="942" spans="2:2">
      <c r="B942" s="73" t="s">
        <v>327</v>
      </c>
    </row>
    <row r="943" spans="2:2">
      <c r="B943" s="73" t="s">
        <v>327</v>
      </c>
    </row>
    <row r="944" spans="2:2">
      <c r="B944" s="73" t="s">
        <v>327</v>
      </c>
    </row>
    <row r="945" spans="2:2">
      <c r="B945" s="73" t="s">
        <v>327</v>
      </c>
    </row>
    <row r="946" spans="2:2">
      <c r="B946" s="73" t="s">
        <v>327</v>
      </c>
    </row>
    <row r="947" spans="2:2">
      <c r="B947" s="73" t="s">
        <v>327</v>
      </c>
    </row>
    <row r="948" spans="2:2">
      <c r="B948" s="73" t="s">
        <v>327</v>
      </c>
    </row>
    <row r="949" spans="2:2">
      <c r="B949" s="73" t="s">
        <v>327</v>
      </c>
    </row>
    <row r="950" spans="2:2">
      <c r="B950" s="73" t="s">
        <v>327</v>
      </c>
    </row>
    <row r="951" spans="2:2">
      <c r="B951" s="73" t="s">
        <v>327</v>
      </c>
    </row>
    <row r="952" spans="2:2">
      <c r="B952" s="73" t="s">
        <v>327</v>
      </c>
    </row>
    <row r="953" spans="2:2">
      <c r="B953" s="73" t="s">
        <v>327</v>
      </c>
    </row>
    <row r="954" spans="2:2">
      <c r="B954" s="73" t="s">
        <v>327</v>
      </c>
    </row>
    <row r="955" spans="2:2">
      <c r="B955" s="73" t="s">
        <v>327</v>
      </c>
    </row>
    <row r="956" spans="2:2">
      <c r="B956" s="73" t="s">
        <v>327</v>
      </c>
    </row>
    <row r="957" spans="2:2">
      <c r="B957" s="73" t="s">
        <v>327</v>
      </c>
    </row>
    <row r="958" spans="2:2">
      <c r="B958" s="73" t="s">
        <v>327</v>
      </c>
    </row>
    <row r="959" spans="2:2">
      <c r="B959" s="73" t="s">
        <v>327</v>
      </c>
    </row>
    <row r="960" spans="2:2">
      <c r="B960" s="73" t="s">
        <v>327</v>
      </c>
    </row>
    <row r="961" spans="2:2">
      <c r="B961" s="73" t="s">
        <v>327</v>
      </c>
    </row>
    <row r="962" spans="2:2">
      <c r="B962" s="73" t="s">
        <v>327</v>
      </c>
    </row>
    <row r="963" spans="2:2">
      <c r="B963" s="73" t="s">
        <v>327</v>
      </c>
    </row>
    <row r="964" spans="2:2">
      <c r="B964" s="73" t="s">
        <v>327</v>
      </c>
    </row>
    <row r="965" spans="2:2">
      <c r="B965" s="73" t="s">
        <v>327</v>
      </c>
    </row>
    <row r="966" spans="2:2">
      <c r="B966" s="73" t="s">
        <v>327</v>
      </c>
    </row>
    <row r="967" spans="2:2">
      <c r="B967" s="73" t="s">
        <v>327</v>
      </c>
    </row>
    <row r="968" spans="2:2">
      <c r="B968" s="73" t="s">
        <v>327</v>
      </c>
    </row>
    <row r="969" spans="2:2">
      <c r="B969" s="73" t="s">
        <v>327</v>
      </c>
    </row>
    <row r="970" spans="2:2">
      <c r="B970" s="73" t="s">
        <v>327</v>
      </c>
    </row>
    <row r="971" spans="2:2">
      <c r="B971" s="73" t="s">
        <v>327</v>
      </c>
    </row>
    <row r="972" spans="2:2">
      <c r="B972" s="73" t="s">
        <v>327</v>
      </c>
    </row>
    <row r="973" spans="2:2">
      <c r="B973" s="73" t="s">
        <v>327</v>
      </c>
    </row>
    <row r="974" spans="2:2">
      <c r="B974" s="73" t="s">
        <v>327</v>
      </c>
    </row>
    <row r="975" spans="2:2">
      <c r="B975" s="73" t="s">
        <v>327</v>
      </c>
    </row>
    <row r="976" spans="2:2">
      <c r="B976" s="73" t="s">
        <v>327</v>
      </c>
    </row>
    <row r="977" spans="2:2">
      <c r="B977" s="73" t="s">
        <v>327</v>
      </c>
    </row>
    <row r="978" spans="2:2">
      <c r="B978" s="73" t="s">
        <v>327</v>
      </c>
    </row>
    <row r="979" spans="2:2">
      <c r="B979" s="73" t="s">
        <v>327</v>
      </c>
    </row>
    <row r="980" spans="2:2">
      <c r="B980" s="73" t="s">
        <v>327</v>
      </c>
    </row>
    <row r="981" spans="2:2">
      <c r="B981" s="73" t="s">
        <v>327</v>
      </c>
    </row>
    <row r="982" spans="2:2">
      <c r="B982" s="73" t="s">
        <v>327</v>
      </c>
    </row>
    <row r="983" spans="2:2">
      <c r="B983" s="73" t="s">
        <v>327</v>
      </c>
    </row>
    <row r="984" spans="2:2">
      <c r="B984" s="73" t="s">
        <v>327</v>
      </c>
    </row>
    <row r="985" spans="2:2">
      <c r="B985" s="73" t="s">
        <v>327</v>
      </c>
    </row>
    <row r="986" spans="2:2">
      <c r="B986" s="73" t="s">
        <v>327</v>
      </c>
    </row>
    <row r="987" spans="2:2">
      <c r="B987" s="73" t="s">
        <v>327</v>
      </c>
    </row>
    <row r="988" spans="2:2">
      <c r="B988" s="73" t="s">
        <v>327</v>
      </c>
    </row>
    <row r="989" spans="2:2">
      <c r="B989" s="73" t="s">
        <v>327</v>
      </c>
    </row>
    <row r="990" spans="2:2">
      <c r="B990" s="73" t="s">
        <v>327</v>
      </c>
    </row>
    <row r="991" spans="2:2">
      <c r="B991" s="73" t="s">
        <v>327</v>
      </c>
    </row>
    <row r="992" spans="2:2">
      <c r="B992" s="73" t="s">
        <v>327</v>
      </c>
    </row>
    <row r="993" spans="2:2">
      <c r="B993" s="73" t="s">
        <v>327</v>
      </c>
    </row>
    <row r="994" spans="2:2">
      <c r="B994" s="73" t="s">
        <v>327</v>
      </c>
    </row>
    <row r="995" spans="2:2">
      <c r="B995" s="73" t="s">
        <v>327</v>
      </c>
    </row>
    <row r="996" spans="2:2">
      <c r="B996" s="73" t="s">
        <v>327</v>
      </c>
    </row>
    <row r="997" spans="2:2">
      <c r="B997" s="73" t="s">
        <v>327</v>
      </c>
    </row>
    <row r="998" spans="2:2">
      <c r="B998" s="73" t="s">
        <v>327</v>
      </c>
    </row>
    <row r="999" spans="2:2">
      <c r="B999" s="73" t="s">
        <v>327</v>
      </c>
    </row>
    <row r="1000" spans="2:2">
      <c r="B1000" s="73" t="s">
        <v>327</v>
      </c>
    </row>
    <row r="1001" spans="2:2">
      <c r="B1001" s="73" t="s">
        <v>327</v>
      </c>
    </row>
    <row r="1002" spans="2:2">
      <c r="B1002" s="73" t="s">
        <v>327</v>
      </c>
    </row>
    <row r="1003" spans="2:2">
      <c r="B1003" s="73" t="s">
        <v>327</v>
      </c>
    </row>
    <row r="1004" spans="2:2">
      <c r="B1004" s="73" t="s">
        <v>327</v>
      </c>
    </row>
    <row r="1005" spans="2:2">
      <c r="B1005" s="73" t="s">
        <v>327</v>
      </c>
    </row>
    <row r="1006" spans="2:2">
      <c r="B1006" s="73" t="s">
        <v>327</v>
      </c>
    </row>
    <row r="1007" spans="2:2">
      <c r="B1007" s="73" t="s">
        <v>327</v>
      </c>
    </row>
    <row r="1008" spans="2:2">
      <c r="B1008" s="73" t="s">
        <v>327</v>
      </c>
    </row>
    <row r="1009" spans="2:2">
      <c r="B1009" s="73" t="s">
        <v>327</v>
      </c>
    </row>
    <row r="1010" spans="2:2">
      <c r="B1010" s="73" t="s">
        <v>327</v>
      </c>
    </row>
    <row r="1011" spans="2:2">
      <c r="B1011" s="73" t="s">
        <v>327</v>
      </c>
    </row>
    <row r="1012" spans="2:2">
      <c r="B1012" s="73" t="s">
        <v>327</v>
      </c>
    </row>
    <row r="1013" spans="2:2">
      <c r="B1013" s="73" t="s">
        <v>327</v>
      </c>
    </row>
    <row r="1014" spans="2:2">
      <c r="B1014" s="73" t="s">
        <v>327</v>
      </c>
    </row>
    <row r="1015" spans="2:2">
      <c r="B1015" s="73" t="s">
        <v>327</v>
      </c>
    </row>
    <row r="1016" spans="2:2">
      <c r="B1016" s="73" t="s">
        <v>327</v>
      </c>
    </row>
    <row r="1017" spans="2:2">
      <c r="B1017" s="73" t="s">
        <v>327</v>
      </c>
    </row>
    <row r="1018" spans="2:2">
      <c r="B1018" s="73" t="s">
        <v>327</v>
      </c>
    </row>
    <row r="1019" spans="2:2">
      <c r="B1019" s="73" t="s">
        <v>327</v>
      </c>
    </row>
    <row r="1020" spans="2:2">
      <c r="B1020" s="73" t="s">
        <v>327</v>
      </c>
    </row>
    <row r="1021" spans="2:2">
      <c r="B1021" s="73" t="s">
        <v>327</v>
      </c>
    </row>
    <row r="1022" spans="2:2">
      <c r="B1022" s="73" t="s">
        <v>327</v>
      </c>
    </row>
    <row r="1023" spans="2:2">
      <c r="B1023" s="73" t="s">
        <v>327</v>
      </c>
    </row>
    <row r="1024" spans="2:2">
      <c r="B1024" s="73" t="s">
        <v>327</v>
      </c>
    </row>
    <row r="1025" spans="2:2">
      <c r="B1025" s="73" t="s">
        <v>327</v>
      </c>
    </row>
    <row r="1026" spans="2:2">
      <c r="B1026" s="73" t="s">
        <v>327</v>
      </c>
    </row>
    <row r="1027" spans="2:2">
      <c r="B1027" s="73" t="s">
        <v>327</v>
      </c>
    </row>
    <row r="1028" spans="2:2">
      <c r="B1028" s="73" t="s">
        <v>327</v>
      </c>
    </row>
    <row r="1029" spans="2:2">
      <c r="B1029" s="73" t="s">
        <v>327</v>
      </c>
    </row>
    <row r="1030" spans="2:2">
      <c r="B1030" s="73" t="s">
        <v>327</v>
      </c>
    </row>
    <row r="1031" spans="2:2">
      <c r="B1031" s="73" t="s">
        <v>327</v>
      </c>
    </row>
    <row r="1032" spans="2:2">
      <c r="B1032" s="73" t="s">
        <v>327</v>
      </c>
    </row>
    <row r="1033" spans="2:2">
      <c r="B1033" s="73" t="s">
        <v>327</v>
      </c>
    </row>
    <row r="1034" spans="2:2">
      <c r="B1034" s="73" t="s">
        <v>327</v>
      </c>
    </row>
    <row r="1035" spans="2:2">
      <c r="B1035" s="73" t="s">
        <v>327</v>
      </c>
    </row>
    <row r="1036" spans="2:2">
      <c r="B1036" s="73" t="s">
        <v>327</v>
      </c>
    </row>
    <row r="1037" spans="2:2">
      <c r="B1037" s="73" t="s">
        <v>327</v>
      </c>
    </row>
    <row r="1038" spans="2:2">
      <c r="B1038" s="73" t="s">
        <v>327</v>
      </c>
    </row>
    <row r="1039" spans="2:2">
      <c r="B1039" s="73" t="s">
        <v>327</v>
      </c>
    </row>
    <row r="1040" spans="2:2">
      <c r="B1040" s="73" t="s">
        <v>327</v>
      </c>
    </row>
    <row r="1041" spans="2:2">
      <c r="B1041" s="73" t="s">
        <v>327</v>
      </c>
    </row>
    <row r="1042" spans="2:2">
      <c r="B1042" s="73" t="s">
        <v>327</v>
      </c>
    </row>
    <row r="1043" spans="2:2">
      <c r="B1043" s="73" t="s">
        <v>327</v>
      </c>
    </row>
    <row r="1044" spans="2:2">
      <c r="B1044" s="73" t="s">
        <v>327</v>
      </c>
    </row>
    <row r="1045" spans="2:2">
      <c r="B1045" s="73" t="s">
        <v>327</v>
      </c>
    </row>
    <row r="1046" spans="2:2">
      <c r="B1046" s="73" t="s">
        <v>327</v>
      </c>
    </row>
    <row r="1047" spans="2:2">
      <c r="B1047" s="73" t="s">
        <v>327</v>
      </c>
    </row>
    <row r="1048" spans="2:2">
      <c r="B1048" s="73" t="s">
        <v>327</v>
      </c>
    </row>
    <row r="1049" spans="2:2">
      <c r="B1049" s="73" t="s">
        <v>327</v>
      </c>
    </row>
    <row r="1050" spans="2:2">
      <c r="B1050" s="73" t="s">
        <v>327</v>
      </c>
    </row>
    <row r="1051" spans="2:2">
      <c r="B1051" s="73" t="s">
        <v>327</v>
      </c>
    </row>
    <row r="1052" spans="2:2">
      <c r="B1052" s="73" t="s">
        <v>327</v>
      </c>
    </row>
    <row r="1053" spans="2:2">
      <c r="B1053" s="73" t="s">
        <v>327</v>
      </c>
    </row>
    <row r="1054" spans="2:2">
      <c r="B1054" s="73" t="s">
        <v>327</v>
      </c>
    </row>
    <row r="1055" spans="2:2">
      <c r="B1055" s="73" t="s">
        <v>327</v>
      </c>
    </row>
    <row r="1056" spans="2:2">
      <c r="B1056" s="73" t="s">
        <v>327</v>
      </c>
    </row>
    <row r="1057" spans="2:2">
      <c r="B1057" s="73" t="s">
        <v>327</v>
      </c>
    </row>
    <row r="1058" spans="2:2">
      <c r="B1058" s="73" t="s">
        <v>327</v>
      </c>
    </row>
    <row r="1059" spans="2:2">
      <c r="B1059" s="73" t="s">
        <v>327</v>
      </c>
    </row>
    <row r="1060" spans="2:2">
      <c r="B1060" s="73" t="s">
        <v>327</v>
      </c>
    </row>
    <row r="1061" spans="2:2">
      <c r="B1061" s="73" t="s">
        <v>327</v>
      </c>
    </row>
    <row r="1062" spans="2:2">
      <c r="B1062" s="73" t="s">
        <v>327</v>
      </c>
    </row>
    <row r="1063" spans="2:2">
      <c r="B1063" s="73" t="s">
        <v>327</v>
      </c>
    </row>
    <row r="1064" spans="2:2">
      <c r="B1064" s="73" t="s">
        <v>327</v>
      </c>
    </row>
    <row r="1065" spans="2:2">
      <c r="B1065" s="73" t="s">
        <v>327</v>
      </c>
    </row>
    <row r="1066" spans="2:2">
      <c r="B1066" s="73" t="s">
        <v>327</v>
      </c>
    </row>
    <row r="1067" spans="2:2">
      <c r="B1067" s="73" t="s">
        <v>327</v>
      </c>
    </row>
    <row r="1068" spans="2:2">
      <c r="B1068" s="73" t="s">
        <v>327</v>
      </c>
    </row>
    <row r="1069" spans="2:2">
      <c r="B1069" s="73" t="s">
        <v>327</v>
      </c>
    </row>
    <row r="1070" spans="2:2">
      <c r="B1070" s="73" t="s">
        <v>327</v>
      </c>
    </row>
    <row r="1071" spans="2:2">
      <c r="B1071" s="73" t="s">
        <v>327</v>
      </c>
    </row>
    <row r="1072" spans="2:2">
      <c r="B1072" s="73" t="s">
        <v>327</v>
      </c>
    </row>
    <row r="1073" spans="2:2">
      <c r="B1073" s="73" t="s">
        <v>327</v>
      </c>
    </row>
    <row r="1074" spans="2:2">
      <c r="B1074" s="73" t="s">
        <v>327</v>
      </c>
    </row>
    <row r="1075" spans="2:2">
      <c r="B1075" s="73" t="s">
        <v>327</v>
      </c>
    </row>
    <row r="1076" spans="2:2">
      <c r="B1076" s="73" t="s">
        <v>327</v>
      </c>
    </row>
    <row r="1077" spans="2:2">
      <c r="B1077" s="73" t="s">
        <v>327</v>
      </c>
    </row>
    <row r="1078" spans="2:2">
      <c r="B1078" s="73" t="s">
        <v>327</v>
      </c>
    </row>
    <row r="1079" spans="2:2">
      <c r="B1079" s="73" t="s">
        <v>327</v>
      </c>
    </row>
    <row r="1080" spans="2:2">
      <c r="B1080" s="73" t="s">
        <v>327</v>
      </c>
    </row>
    <row r="1081" spans="2:2">
      <c r="B1081" s="73" t="s">
        <v>327</v>
      </c>
    </row>
    <row r="1082" spans="2:2">
      <c r="B1082" s="73" t="s">
        <v>327</v>
      </c>
    </row>
    <row r="1083" spans="2:2">
      <c r="B1083" s="73" t="s">
        <v>327</v>
      </c>
    </row>
    <row r="1084" spans="2:2">
      <c r="B1084" s="73" t="s">
        <v>327</v>
      </c>
    </row>
    <row r="1085" spans="2:2">
      <c r="B1085" s="73" t="s">
        <v>327</v>
      </c>
    </row>
    <row r="1086" spans="2:2">
      <c r="B1086" s="73" t="s">
        <v>327</v>
      </c>
    </row>
    <row r="1087" spans="2:2">
      <c r="B1087" s="73" t="s">
        <v>327</v>
      </c>
    </row>
    <row r="1088" spans="2:2">
      <c r="B1088" s="73" t="s">
        <v>327</v>
      </c>
    </row>
    <row r="1089" spans="2:2">
      <c r="B1089" s="73" t="s">
        <v>327</v>
      </c>
    </row>
    <row r="1090" spans="2:2">
      <c r="B1090" s="73" t="s">
        <v>327</v>
      </c>
    </row>
    <row r="1091" spans="2:2">
      <c r="B1091" s="73" t="s">
        <v>327</v>
      </c>
    </row>
    <row r="1092" spans="2:2">
      <c r="B1092" s="73" t="s">
        <v>327</v>
      </c>
    </row>
    <row r="1093" spans="2:2">
      <c r="B1093" s="73" t="s">
        <v>327</v>
      </c>
    </row>
    <row r="1094" spans="2:2">
      <c r="B1094" s="73" t="s">
        <v>327</v>
      </c>
    </row>
    <row r="1095" spans="2:2">
      <c r="B1095" s="73" t="s">
        <v>327</v>
      </c>
    </row>
    <row r="1096" spans="2:2">
      <c r="B1096" s="73" t="s">
        <v>327</v>
      </c>
    </row>
    <row r="1097" spans="2:2">
      <c r="B1097" s="73" t="s">
        <v>327</v>
      </c>
    </row>
    <row r="1098" spans="2:2">
      <c r="B1098" s="73" t="s">
        <v>327</v>
      </c>
    </row>
    <row r="1099" spans="2:2">
      <c r="B1099" s="73" t="s">
        <v>327</v>
      </c>
    </row>
    <row r="1100" spans="2:2">
      <c r="B1100" s="73" t="s">
        <v>327</v>
      </c>
    </row>
    <row r="1101" spans="2:2">
      <c r="B1101" s="73" t="s">
        <v>327</v>
      </c>
    </row>
    <row r="1102" spans="2:2">
      <c r="B1102" s="73" t="s">
        <v>327</v>
      </c>
    </row>
    <row r="1103" spans="2:2">
      <c r="B1103" s="73" t="s">
        <v>327</v>
      </c>
    </row>
    <row r="1104" spans="2:2">
      <c r="B1104" s="73" t="s">
        <v>327</v>
      </c>
    </row>
    <row r="1105" spans="2:2">
      <c r="B1105" s="73" t="s">
        <v>327</v>
      </c>
    </row>
    <row r="1106" spans="2:2">
      <c r="B1106" s="73" t="s">
        <v>327</v>
      </c>
    </row>
    <row r="1107" spans="2:2">
      <c r="B1107" s="73" t="s">
        <v>327</v>
      </c>
    </row>
    <row r="1108" spans="2:2">
      <c r="B1108" s="73" t="s">
        <v>327</v>
      </c>
    </row>
    <row r="1109" spans="2:2">
      <c r="B1109" s="73" t="s">
        <v>327</v>
      </c>
    </row>
    <row r="1110" spans="2:2">
      <c r="B1110" s="73" t="s">
        <v>327</v>
      </c>
    </row>
    <row r="1111" spans="2:2">
      <c r="B1111" s="73" t="s">
        <v>327</v>
      </c>
    </row>
    <row r="1112" spans="2:2">
      <c r="B1112" s="73" t="s">
        <v>327</v>
      </c>
    </row>
    <row r="1113" spans="2:2">
      <c r="B1113" s="73" t="s">
        <v>327</v>
      </c>
    </row>
    <row r="1114" spans="2:2">
      <c r="B1114" s="73" t="s">
        <v>327</v>
      </c>
    </row>
    <row r="1115" spans="2:2">
      <c r="B1115" s="73" t="s">
        <v>327</v>
      </c>
    </row>
    <row r="1116" spans="2:2">
      <c r="B1116" s="73" t="s">
        <v>327</v>
      </c>
    </row>
    <row r="1117" spans="2:2">
      <c r="B1117" s="73" t="s">
        <v>327</v>
      </c>
    </row>
    <row r="1118" spans="2:2">
      <c r="B1118" s="73" t="s">
        <v>327</v>
      </c>
    </row>
    <row r="1119" spans="2:2">
      <c r="B1119" s="73" t="s">
        <v>327</v>
      </c>
    </row>
    <row r="1120" spans="2:2">
      <c r="B1120" s="73" t="s">
        <v>327</v>
      </c>
    </row>
    <row r="1121" spans="2:2">
      <c r="B1121" s="73" t="s">
        <v>327</v>
      </c>
    </row>
    <row r="1122" spans="2:2">
      <c r="B1122" s="73" t="s">
        <v>327</v>
      </c>
    </row>
    <row r="1123" spans="2:2">
      <c r="B1123" s="73" t="s">
        <v>327</v>
      </c>
    </row>
    <row r="1124" spans="2:2">
      <c r="B1124" s="73" t="s">
        <v>327</v>
      </c>
    </row>
    <row r="1125" spans="2:2">
      <c r="B1125" s="73" t="s">
        <v>327</v>
      </c>
    </row>
    <row r="1126" spans="2:2">
      <c r="B1126" s="73" t="s">
        <v>327</v>
      </c>
    </row>
    <row r="1127" spans="2:2">
      <c r="B1127" s="73" t="s">
        <v>327</v>
      </c>
    </row>
    <row r="1128" spans="2:2">
      <c r="B1128" s="73" t="s">
        <v>327</v>
      </c>
    </row>
    <row r="1129" spans="2:2">
      <c r="B1129" s="73" t="s">
        <v>327</v>
      </c>
    </row>
    <row r="1130" spans="2:2">
      <c r="B1130" s="73" t="s">
        <v>327</v>
      </c>
    </row>
    <row r="1131" spans="2:2">
      <c r="B1131" s="73" t="s">
        <v>327</v>
      </c>
    </row>
    <row r="1132" spans="2:2">
      <c r="B1132" s="73" t="s">
        <v>327</v>
      </c>
    </row>
    <row r="1133" spans="2:2">
      <c r="B1133" s="73" t="s">
        <v>327</v>
      </c>
    </row>
    <row r="1134" spans="2:2">
      <c r="B1134" s="73" t="s">
        <v>327</v>
      </c>
    </row>
    <row r="1135" spans="2:2">
      <c r="B1135" s="73" t="s">
        <v>327</v>
      </c>
    </row>
    <row r="1136" spans="2:2">
      <c r="B1136" s="73" t="s">
        <v>327</v>
      </c>
    </row>
    <row r="1137" spans="2:2">
      <c r="B1137" s="73" t="s">
        <v>327</v>
      </c>
    </row>
    <row r="1138" spans="2:2">
      <c r="B1138" s="73" t="s">
        <v>327</v>
      </c>
    </row>
    <row r="1139" spans="2:2">
      <c r="B1139" s="73" t="s">
        <v>327</v>
      </c>
    </row>
    <row r="1140" spans="2:2">
      <c r="B1140" s="73" t="s">
        <v>327</v>
      </c>
    </row>
    <row r="1141" spans="2:2">
      <c r="B1141" s="73" t="s">
        <v>327</v>
      </c>
    </row>
    <row r="1142" spans="2:2">
      <c r="B1142" s="73" t="s">
        <v>327</v>
      </c>
    </row>
    <row r="1143" spans="2:2">
      <c r="B1143" s="73" t="s">
        <v>327</v>
      </c>
    </row>
    <row r="1144" spans="2:2">
      <c r="B1144" s="73" t="s">
        <v>327</v>
      </c>
    </row>
    <row r="1145" spans="2:2">
      <c r="B1145" s="73" t="s">
        <v>327</v>
      </c>
    </row>
    <row r="1146" spans="2:2">
      <c r="B1146" s="73" t="s">
        <v>327</v>
      </c>
    </row>
    <row r="1147" spans="2:2">
      <c r="B1147" s="73" t="s">
        <v>327</v>
      </c>
    </row>
    <row r="1148" spans="2:2">
      <c r="B1148" s="73" t="s">
        <v>327</v>
      </c>
    </row>
    <row r="1149" spans="2:2">
      <c r="B1149" s="73" t="s">
        <v>327</v>
      </c>
    </row>
    <row r="1150" spans="2:2">
      <c r="B1150" s="73" t="s">
        <v>327</v>
      </c>
    </row>
    <row r="1151" spans="2:2">
      <c r="B1151" s="73" t="s">
        <v>327</v>
      </c>
    </row>
    <row r="1152" spans="2:2">
      <c r="B1152" s="73" t="s">
        <v>327</v>
      </c>
    </row>
    <row r="1153" spans="2:2">
      <c r="B1153" s="73" t="s">
        <v>327</v>
      </c>
    </row>
    <row r="1154" spans="2:2">
      <c r="B1154" s="73" t="s">
        <v>327</v>
      </c>
    </row>
    <row r="1155" spans="2:2">
      <c r="B1155" s="73" t="s">
        <v>327</v>
      </c>
    </row>
    <row r="1156" spans="2:2">
      <c r="B1156" s="73" t="s">
        <v>327</v>
      </c>
    </row>
    <row r="1157" spans="2:2">
      <c r="B1157" s="73" t="s">
        <v>327</v>
      </c>
    </row>
    <row r="1158" spans="2:2">
      <c r="B1158" s="73" t="s">
        <v>327</v>
      </c>
    </row>
    <row r="1159" spans="2:2">
      <c r="B1159" s="73" t="s">
        <v>327</v>
      </c>
    </row>
    <row r="1160" spans="2:2">
      <c r="B1160" s="73" t="s">
        <v>327</v>
      </c>
    </row>
    <row r="1161" spans="2:2">
      <c r="B1161" s="73" t="s">
        <v>327</v>
      </c>
    </row>
    <row r="1162" spans="2:2">
      <c r="B1162" s="73" t="s">
        <v>327</v>
      </c>
    </row>
    <row r="1163" spans="2:2">
      <c r="B1163" s="73" t="s">
        <v>327</v>
      </c>
    </row>
    <row r="1164" spans="2:2">
      <c r="B1164" s="73" t="s">
        <v>327</v>
      </c>
    </row>
    <row r="1165" spans="2:2">
      <c r="B1165" s="73" t="s">
        <v>327</v>
      </c>
    </row>
    <row r="1166" spans="2:2">
      <c r="B1166" s="73" t="s">
        <v>327</v>
      </c>
    </row>
    <row r="1167" spans="2:2">
      <c r="B1167" s="73" t="s">
        <v>327</v>
      </c>
    </row>
    <row r="1168" spans="2:2">
      <c r="B1168" s="73" t="s">
        <v>327</v>
      </c>
    </row>
    <row r="1169" spans="2:2">
      <c r="B1169" s="73" t="s">
        <v>327</v>
      </c>
    </row>
    <row r="1170" spans="2:2">
      <c r="B1170" s="73" t="s">
        <v>327</v>
      </c>
    </row>
    <row r="1171" spans="2:2">
      <c r="B1171" s="73" t="s">
        <v>327</v>
      </c>
    </row>
    <row r="1172" spans="2:2">
      <c r="B1172" s="73" t="s">
        <v>327</v>
      </c>
    </row>
    <row r="1173" spans="2:2">
      <c r="B1173" s="73" t="s">
        <v>327</v>
      </c>
    </row>
    <row r="1174" spans="2:2">
      <c r="B1174" s="73" t="s">
        <v>327</v>
      </c>
    </row>
    <row r="1175" spans="2:2">
      <c r="B1175" s="73" t="s">
        <v>327</v>
      </c>
    </row>
    <row r="1176" spans="2:2">
      <c r="B1176" s="73" t="s">
        <v>327</v>
      </c>
    </row>
    <row r="1177" spans="2:2">
      <c r="B1177" s="73" t="s">
        <v>327</v>
      </c>
    </row>
    <row r="1178" spans="2:2">
      <c r="B1178" s="73" t="s">
        <v>327</v>
      </c>
    </row>
    <row r="1179" spans="2:2">
      <c r="B1179" s="73" t="s">
        <v>327</v>
      </c>
    </row>
    <row r="1180" spans="2:2">
      <c r="B1180" s="73" t="s">
        <v>327</v>
      </c>
    </row>
    <row r="1181" spans="2:2">
      <c r="B1181" s="73" t="s">
        <v>327</v>
      </c>
    </row>
    <row r="1182" spans="2:2">
      <c r="B1182" s="73" t="s">
        <v>327</v>
      </c>
    </row>
    <row r="1183" spans="2:2">
      <c r="B1183" s="73" t="s">
        <v>327</v>
      </c>
    </row>
    <row r="1184" spans="2:2">
      <c r="B1184" s="73" t="s">
        <v>327</v>
      </c>
    </row>
    <row r="1185" spans="2:2">
      <c r="B1185" s="73" t="s">
        <v>327</v>
      </c>
    </row>
    <row r="1186" spans="2:2">
      <c r="B1186" s="73" t="s">
        <v>327</v>
      </c>
    </row>
    <row r="1187" spans="2:2">
      <c r="B1187" s="73" t="s">
        <v>327</v>
      </c>
    </row>
    <row r="1188" spans="2:2">
      <c r="B1188" s="73" t="s">
        <v>327</v>
      </c>
    </row>
    <row r="1189" spans="2:2">
      <c r="B1189" s="73" t="s">
        <v>327</v>
      </c>
    </row>
    <row r="1190" spans="2:2">
      <c r="B1190" s="73" t="s">
        <v>327</v>
      </c>
    </row>
    <row r="1191" spans="2:2">
      <c r="B1191" s="73" t="s">
        <v>327</v>
      </c>
    </row>
    <row r="1192" spans="2:2">
      <c r="B1192" s="73" t="s">
        <v>327</v>
      </c>
    </row>
    <row r="1193" spans="2:2">
      <c r="B1193" s="73" t="s">
        <v>327</v>
      </c>
    </row>
    <row r="1194" spans="2:2">
      <c r="B1194" s="73" t="s">
        <v>327</v>
      </c>
    </row>
    <row r="1195" spans="2:2">
      <c r="B1195" s="73" t="s">
        <v>327</v>
      </c>
    </row>
    <row r="1196" spans="2:2">
      <c r="B1196" s="73" t="s">
        <v>327</v>
      </c>
    </row>
    <row r="1197" spans="2:2">
      <c r="B1197" s="73" t="s">
        <v>327</v>
      </c>
    </row>
    <row r="1198" spans="2:2">
      <c r="B1198" s="73" t="s">
        <v>327</v>
      </c>
    </row>
    <row r="1199" spans="2:2">
      <c r="B1199" s="73" t="s">
        <v>327</v>
      </c>
    </row>
    <row r="1200" spans="2:2">
      <c r="B1200" s="73" t="s">
        <v>327</v>
      </c>
    </row>
    <row r="1201" spans="2:2">
      <c r="B1201" s="73" t="s">
        <v>327</v>
      </c>
    </row>
    <row r="1202" spans="2:2">
      <c r="B1202" s="73" t="s">
        <v>327</v>
      </c>
    </row>
    <row r="1203" spans="2:2">
      <c r="B1203" s="73" t="s">
        <v>327</v>
      </c>
    </row>
    <row r="1204" spans="2:2">
      <c r="B1204" s="73" t="s">
        <v>327</v>
      </c>
    </row>
    <row r="1205" spans="2:2">
      <c r="B1205" s="73" t="s">
        <v>327</v>
      </c>
    </row>
    <row r="1206" spans="2:2">
      <c r="B1206" s="73" t="s">
        <v>327</v>
      </c>
    </row>
    <row r="1207" spans="2:2">
      <c r="B1207" s="73" t="s">
        <v>327</v>
      </c>
    </row>
    <row r="1208" spans="2:2">
      <c r="B1208" s="73" t="s">
        <v>327</v>
      </c>
    </row>
    <row r="1209" spans="2:2">
      <c r="B1209" s="73" t="s">
        <v>327</v>
      </c>
    </row>
    <row r="1210" spans="2:2">
      <c r="B1210" s="73" t="s">
        <v>327</v>
      </c>
    </row>
    <row r="1211" spans="2:2">
      <c r="B1211" s="73" t="s">
        <v>327</v>
      </c>
    </row>
    <row r="1212" spans="2:2">
      <c r="B1212" s="73" t="s">
        <v>327</v>
      </c>
    </row>
    <row r="1213" spans="2:2">
      <c r="B1213" s="73" t="s">
        <v>327</v>
      </c>
    </row>
    <row r="1214" spans="2:2">
      <c r="B1214" s="73" t="s">
        <v>327</v>
      </c>
    </row>
    <row r="1215" spans="2:2">
      <c r="B1215" s="73" t="s">
        <v>327</v>
      </c>
    </row>
    <row r="1216" spans="2:2">
      <c r="B1216" s="73" t="s">
        <v>327</v>
      </c>
    </row>
    <row r="1217" spans="2:2">
      <c r="B1217" s="73" t="s">
        <v>327</v>
      </c>
    </row>
    <row r="1218" spans="2:2">
      <c r="B1218" s="73" t="s">
        <v>327</v>
      </c>
    </row>
    <row r="1219" spans="2:2">
      <c r="B1219" s="73" t="s">
        <v>327</v>
      </c>
    </row>
    <row r="1220" spans="2:2">
      <c r="B1220" s="73" t="s">
        <v>327</v>
      </c>
    </row>
    <row r="1221" spans="2:2">
      <c r="B1221" s="73" t="s">
        <v>327</v>
      </c>
    </row>
    <row r="1222" spans="2:2">
      <c r="B1222" s="73" t="s">
        <v>327</v>
      </c>
    </row>
    <row r="1223" spans="2:2">
      <c r="B1223" s="73" t="s">
        <v>327</v>
      </c>
    </row>
    <row r="1224" spans="2:2">
      <c r="B1224" s="73" t="s">
        <v>327</v>
      </c>
    </row>
    <row r="1225" spans="2:2">
      <c r="B1225" s="73" t="s">
        <v>327</v>
      </c>
    </row>
    <row r="1226" spans="2:2">
      <c r="B1226" s="73" t="s">
        <v>327</v>
      </c>
    </row>
    <row r="1227" spans="2:2">
      <c r="B1227" s="73" t="s">
        <v>327</v>
      </c>
    </row>
    <row r="1228" spans="2:2">
      <c r="B1228" s="73" t="s">
        <v>327</v>
      </c>
    </row>
    <row r="1229" spans="2:2">
      <c r="B1229" s="73" t="s">
        <v>327</v>
      </c>
    </row>
    <row r="1230" spans="2:2">
      <c r="B1230" s="73" t="s">
        <v>327</v>
      </c>
    </row>
    <row r="1231" spans="2:2">
      <c r="B1231" s="73" t="s">
        <v>327</v>
      </c>
    </row>
    <row r="1232" spans="2:2">
      <c r="B1232" s="73" t="s">
        <v>327</v>
      </c>
    </row>
    <row r="1233" spans="2:2">
      <c r="B1233" s="73" t="s">
        <v>327</v>
      </c>
    </row>
    <row r="1234" spans="2:2">
      <c r="B1234" s="73" t="s">
        <v>327</v>
      </c>
    </row>
    <row r="1235" spans="2:2">
      <c r="B1235" s="73" t="s">
        <v>327</v>
      </c>
    </row>
    <row r="1236" spans="2:2">
      <c r="B1236" s="73" t="s">
        <v>327</v>
      </c>
    </row>
    <row r="1237" spans="2:2">
      <c r="B1237" s="73" t="s">
        <v>327</v>
      </c>
    </row>
    <row r="1238" spans="2:2">
      <c r="B1238" s="73" t="s">
        <v>327</v>
      </c>
    </row>
    <row r="1239" spans="2:2">
      <c r="B1239" s="73" t="s">
        <v>327</v>
      </c>
    </row>
    <row r="1240" spans="2:2">
      <c r="B1240" s="73" t="s">
        <v>327</v>
      </c>
    </row>
    <row r="1241" spans="2:2">
      <c r="B1241" s="73" t="s">
        <v>327</v>
      </c>
    </row>
    <row r="1242" spans="2:2">
      <c r="B1242" s="73" t="s">
        <v>327</v>
      </c>
    </row>
    <row r="1243" spans="2:2">
      <c r="B1243" s="73" t="s">
        <v>327</v>
      </c>
    </row>
    <row r="1244" spans="2:2">
      <c r="B1244" s="73" t="s">
        <v>327</v>
      </c>
    </row>
    <row r="1245" spans="2:2">
      <c r="B1245" s="73" t="s">
        <v>327</v>
      </c>
    </row>
    <row r="1246" spans="2:2">
      <c r="B1246" s="73" t="s">
        <v>327</v>
      </c>
    </row>
    <row r="1247" spans="2:2">
      <c r="B1247" s="73" t="s">
        <v>327</v>
      </c>
    </row>
    <row r="1248" spans="2:2">
      <c r="B1248" s="73" t="s">
        <v>327</v>
      </c>
    </row>
    <row r="1249" spans="2:2">
      <c r="B1249" s="73" t="s">
        <v>327</v>
      </c>
    </row>
    <row r="1250" spans="2:2">
      <c r="B1250" s="73" t="s">
        <v>327</v>
      </c>
    </row>
    <row r="1251" spans="2:2">
      <c r="B1251" s="73" t="s">
        <v>327</v>
      </c>
    </row>
    <row r="1252" spans="2:2">
      <c r="B1252" s="73" t="s">
        <v>327</v>
      </c>
    </row>
    <row r="1253" spans="2:2">
      <c r="B1253" s="73" t="s">
        <v>327</v>
      </c>
    </row>
    <row r="1254" spans="2:2">
      <c r="B1254" s="73" t="s">
        <v>327</v>
      </c>
    </row>
    <row r="1255" spans="2:2">
      <c r="B1255" s="73" t="s">
        <v>327</v>
      </c>
    </row>
    <row r="1256" spans="2:2">
      <c r="B1256" s="73" t="s">
        <v>327</v>
      </c>
    </row>
    <row r="1257" spans="2:2">
      <c r="B1257" s="73" t="s">
        <v>327</v>
      </c>
    </row>
    <row r="1258" spans="2:2">
      <c r="B1258" s="73" t="s">
        <v>327</v>
      </c>
    </row>
    <row r="1259" spans="2:2">
      <c r="B1259" s="73" t="s">
        <v>327</v>
      </c>
    </row>
    <row r="1260" spans="2:2">
      <c r="B1260" s="73" t="s">
        <v>327</v>
      </c>
    </row>
    <row r="1261" spans="2:2">
      <c r="B1261" s="73" t="s">
        <v>327</v>
      </c>
    </row>
    <row r="1262" spans="2:2">
      <c r="B1262" s="73" t="s">
        <v>327</v>
      </c>
    </row>
    <row r="1263" spans="2:2">
      <c r="B1263" s="73" t="s">
        <v>327</v>
      </c>
    </row>
    <row r="1264" spans="2:2">
      <c r="B1264" s="73" t="s">
        <v>327</v>
      </c>
    </row>
    <row r="1265" spans="2:2">
      <c r="B1265" s="73" t="s">
        <v>327</v>
      </c>
    </row>
    <row r="1266" spans="2:2">
      <c r="B1266" s="73" t="s">
        <v>327</v>
      </c>
    </row>
    <row r="1267" spans="2:2">
      <c r="B1267" s="73" t="s">
        <v>327</v>
      </c>
    </row>
    <row r="1268" spans="2:2">
      <c r="B1268" s="73" t="s">
        <v>327</v>
      </c>
    </row>
    <row r="1269" spans="2:2">
      <c r="B1269" s="73" t="s">
        <v>327</v>
      </c>
    </row>
    <row r="1270" spans="2:2">
      <c r="B1270" s="73" t="s">
        <v>327</v>
      </c>
    </row>
    <row r="1271" spans="2:2">
      <c r="B1271" s="73" t="s">
        <v>327</v>
      </c>
    </row>
    <row r="1272" spans="2:2">
      <c r="B1272" s="73" t="s">
        <v>327</v>
      </c>
    </row>
    <row r="1273" spans="2:2">
      <c r="B1273" s="73" t="s">
        <v>327</v>
      </c>
    </row>
    <row r="1274" spans="2:2">
      <c r="B1274" s="73" t="s">
        <v>327</v>
      </c>
    </row>
    <row r="1275" spans="2:2">
      <c r="B1275" s="73" t="s">
        <v>327</v>
      </c>
    </row>
    <row r="1276" spans="2:2">
      <c r="B1276" s="73" t="s">
        <v>327</v>
      </c>
    </row>
    <row r="1277" spans="2:2">
      <c r="B1277" s="73" t="s">
        <v>327</v>
      </c>
    </row>
    <row r="1278" spans="2:2">
      <c r="B1278" s="73" t="s">
        <v>327</v>
      </c>
    </row>
    <row r="1279" spans="2:2">
      <c r="B1279" s="73" t="s">
        <v>327</v>
      </c>
    </row>
    <row r="1280" spans="2:2">
      <c r="B1280" s="73" t="s">
        <v>327</v>
      </c>
    </row>
    <row r="1281" spans="2:2">
      <c r="B1281" s="73" t="s">
        <v>327</v>
      </c>
    </row>
    <row r="1282" spans="2:2">
      <c r="B1282" s="73" t="s">
        <v>327</v>
      </c>
    </row>
    <row r="1283" spans="2:2">
      <c r="B1283" s="73" t="s">
        <v>327</v>
      </c>
    </row>
    <row r="1284" spans="2:2">
      <c r="B1284" s="73" t="s">
        <v>327</v>
      </c>
    </row>
    <row r="1285" spans="2:2">
      <c r="B1285" s="73" t="s">
        <v>327</v>
      </c>
    </row>
    <row r="1286" spans="2:2">
      <c r="B1286" s="73" t="s">
        <v>327</v>
      </c>
    </row>
    <row r="1287" spans="2:2">
      <c r="B1287" s="73" t="s">
        <v>327</v>
      </c>
    </row>
    <row r="1288" spans="2:2">
      <c r="B1288" s="73" t="s">
        <v>327</v>
      </c>
    </row>
    <row r="1289" spans="2:2">
      <c r="B1289" s="73" t="s">
        <v>327</v>
      </c>
    </row>
    <row r="1290" spans="2:2">
      <c r="B1290" s="73" t="s">
        <v>327</v>
      </c>
    </row>
    <row r="1291" spans="2:2">
      <c r="B1291" s="73" t="s">
        <v>327</v>
      </c>
    </row>
    <row r="1292" spans="2:2">
      <c r="B1292" s="73" t="s">
        <v>327</v>
      </c>
    </row>
    <row r="1293" spans="2:2">
      <c r="B1293" s="73" t="s">
        <v>327</v>
      </c>
    </row>
    <row r="1294" spans="2:2">
      <c r="B1294" s="73" t="s">
        <v>327</v>
      </c>
    </row>
    <row r="1295" spans="2:2">
      <c r="B1295" s="73" t="s">
        <v>327</v>
      </c>
    </row>
    <row r="1296" spans="2:2">
      <c r="B1296" s="73" t="s">
        <v>327</v>
      </c>
    </row>
    <row r="1297" spans="2:2">
      <c r="B1297" s="73" t="s">
        <v>327</v>
      </c>
    </row>
    <row r="1298" spans="2:2">
      <c r="B1298" s="73" t="s">
        <v>327</v>
      </c>
    </row>
    <row r="1299" spans="2:2">
      <c r="B1299" s="73" t="s">
        <v>327</v>
      </c>
    </row>
    <row r="1300" spans="2:2">
      <c r="B1300" s="73" t="s">
        <v>327</v>
      </c>
    </row>
    <row r="1301" spans="2:2">
      <c r="B1301" s="73" t="s">
        <v>327</v>
      </c>
    </row>
    <row r="1302" spans="2:2">
      <c r="B1302" s="73" t="s">
        <v>327</v>
      </c>
    </row>
    <row r="1303" spans="2:2">
      <c r="B1303" s="73" t="s">
        <v>327</v>
      </c>
    </row>
    <row r="1304" spans="2:2">
      <c r="B1304" s="73" t="s">
        <v>327</v>
      </c>
    </row>
    <row r="1305" spans="2:2">
      <c r="B1305" s="73" t="s">
        <v>327</v>
      </c>
    </row>
    <row r="1306" spans="2:2">
      <c r="B1306" s="73" t="s">
        <v>327</v>
      </c>
    </row>
    <row r="1307" spans="2:2">
      <c r="B1307" s="73" t="s">
        <v>327</v>
      </c>
    </row>
    <row r="1308" spans="2:2">
      <c r="B1308" s="73" t="s">
        <v>327</v>
      </c>
    </row>
    <row r="1309" spans="2:2">
      <c r="B1309" s="73" t="s">
        <v>327</v>
      </c>
    </row>
    <row r="1310" spans="2:2">
      <c r="B1310" s="73" t="s">
        <v>327</v>
      </c>
    </row>
    <row r="1311" spans="2:2">
      <c r="B1311" s="73" t="s">
        <v>327</v>
      </c>
    </row>
    <row r="1312" spans="2:2">
      <c r="B1312" s="73" t="s">
        <v>327</v>
      </c>
    </row>
    <row r="1313" spans="2:2">
      <c r="B1313" s="73" t="s">
        <v>327</v>
      </c>
    </row>
    <row r="1314" spans="2:2">
      <c r="B1314" s="73" t="s">
        <v>327</v>
      </c>
    </row>
    <row r="1315" spans="2:2">
      <c r="B1315" s="73" t="s">
        <v>327</v>
      </c>
    </row>
    <row r="1316" spans="2:2">
      <c r="B1316" s="73" t="s">
        <v>327</v>
      </c>
    </row>
    <row r="1317" spans="2:2">
      <c r="B1317" s="73" t="s">
        <v>327</v>
      </c>
    </row>
    <row r="1318" spans="2:2">
      <c r="B1318" s="73" t="s">
        <v>327</v>
      </c>
    </row>
    <row r="1319" spans="2:2">
      <c r="B1319" s="73" t="s">
        <v>327</v>
      </c>
    </row>
    <row r="1320" spans="2:2">
      <c r="B1320" s="73" t="s">
        <v>327</v>
      </c>
    </row>
    <row r="1321" spans="2:2">
      <c r="B1321" s="73" t="s">
        <v>327</v>
      </c>
    </row>
    <row r="1322" spans="2:2">
      <c r="B1322" s="73" t="s">
        <v>327</v>
      </c>
    </row>
    <row r="1323" spans="2:2">
      <c r="B1323" s="73" t="s">
        <v>327</v>
      </c>
    </row>
    <row r="1324" spans="2:2">
      <c r="B1324" s="73" t="s">
        <v>327</v>
      </c>
    </row>
    <row r="1325" spans="2:2">
      <c r="B1325" s="73" t="s">
        <v>327</v>
      </c>
    </row>
    <row r="1326" spans="2:2">
      <c r="B1326" s="73" t="s">
        <v>327</v>
      </c>
    </row>
    <row r="1327" spans="2:2">
      <c r="B1327" s="73" t="s">
        <v>327</v>
      </c>
    </row>
    <row r="1328" spans="2:2">
      <c r="B1328" s="73" t="s">
        <v>327</v>
      </c>
    </row>
    <row r="1329" spans="2:2">
      <c r="B1329" s="73" t="s">
        <v>327</v>
      </c>
    </row>
    <row r="1330" spans="2:2">
      <c r="B1330" s="73" t="s">
        <v>327</v>
      </c>
    </row>
    <row r="1331" spans="2:2">
      <c r="B1331" s="73" t="s">
        <v>327</v>
      </c>
    </row>
    <row r="1332" spans="2:2">
      <c r="B1332" s="73" t="s">
        <v>327</v>
      </c>
    </row>
    <row r="1333" spans="2:2">
      <c r="B1333" s="73" t="s">
        <v>327</v>
      </c>
    </row>
    <row r="1334" spans="2:2">
      <c r="B1334" s="73" t="s">
        <v>327</v>
      </c>
    </row>
    <row r="1335" spans="2:2">
      <c r="B1335" s="73" t="s">
        <v>327</v>
      </c>
    </row>
    <row r="1336" spans="2:2">
      <c r="B1336" s="73" t="s">
        <v>327</v>
      </c>
    </row>
    <row r="1337" spans="2:2">
      <c r="B1337" s="73" t="s">
        <v>327</v>
      </c>
    </row>
    <row r="1338" spans="2:2">
      <c r="B1338" s="73" t="s">
        <v>327</v>
      </c>
    </row>
    <row r="1339" spans="2:2">
      <c r="B1339" s="73" t="s">
        <v>327</v>
      </c>
    </row>
    <row r="1340" spans="2:2">
      <c r="B1340" s="73" t="s">
        <v>327</v>
      </c>
    </row>
    <row r="1341" spans="2:2">
      <c r="B1341" s="73" t="s">
        <v>327</v>
      </c>
    </row>
    <row r="1342" spans="2:2">
      <c r="B1342" s="73" t="s">
        <v>327</v>
      </c>
    </row>
    <row r="1343" spans="2:2">
      <c r="B1343" s="73" t="s">
        <v>327</v>
      </c>
    </row>
    <row r="1344" spans="2:2">
      <c r="B1344" s="73" t="s">
        <v>327</v>
      </c>
    </row>
    <row r="1345" spans="2:2">
      <c r="B1345" s="73" t="s">
        <v>327</v>
      </c>
    </row>
    <row r="1346" spans="2:2">
      <c r="B1346" s="73" t="s">
        <v>327</v>
      </c>
    </row>
    <row r="1347" spans="2:2">
      <c r="B1347" s="73" t="s">
        <v>327</v>
      </c>
    </row>
    <row r="1348" spans="2:2">
      <c r="B1348" s="73" t="s">
        <v>327</v>
      </c>
    </row>
    <row r="1349" spans="2:2">
      <c r="B1349" s="73" t="s">
        <v>327</v>
      </c>
    </row>
    <row r="1350" spans="2:2">
      <c r="B1350" s="73" t="s">
        <v>327</v>
      </c>
    </row>
    <row r="1351" spans="2:2">
      <c r="B1351" s="73" t="s">
        <v>327</v>
      </c>
    </row>
    <row r="1352" spans="2:2">
      <c r="B1352" s="73" t="s">
        <v>327</v>
      </c>
    </row>
    <row r="1353" spans="2:2">
      <c r="B1353" s="73" t="s">
        <v>327</v>
      </c>
    </row>
    <row r="1354" spans="2:2">
      <c r="B1354" s="73" t="s">
        <v>327</v>
      </c>
    </row>
    <row r="1355" spans="2:2">
      <c r="B1355" s="73" t="s">
        <v>327</v>
      </c>
    </row>
    <row r="1356" spans="2:2">
      <c r="B1356" s="73" t="s">
        <v>327</v>
      </c>
    </row>
    <row r="1357" spans="2:2">
      <c r="B1357" s="73" t="s">
        <v>327</v>
      </c>
    </row>
    <row r="1358" spans="2:2">
      <c r="B1358" s="73" t="s">
        <v>327</v>
      </c>
    </row>
    <row r="1359" spans="2:2">
      <c r="B1359" s="73" t="s">
        <v>327</v>
      </c>
    </row>
    <row r="1360" spans="2:2">
      <c r="B1360" s="73" t="s">
        <v>327</v>
      </c>
    </row>
    <row r="1361" spans="2:2">
      <c r="B1361" s="73" t="s">
        <v>327</v>
      </c>
    </row>
    <row r="1362" spans="2:2">
      <c r="B1362" s="73" t="s">
        <v>327</v>
      </c>
    </row>
    <row r="1363" spans="2:2">
      <c r="B1363" s="73" t="s">
        <v>327</v>
      </c>
    </row>
    <row r="1364" spans="2:2">
      <c r="B1364" s="73" t="s">
        <v>327</v>
      </c>
    </row>
    <row r="1365" spans="2:2">
      <c r="B1365" s="73" t="s">
        <v>327</v>
      </c>
    </row>
    <row r="1366" spans="2:2">
      <c r="B1366" s="73" t="s">
        <v>327</v>
      </c>
    </row>
    <row r="1367" spans="2:2">
      <c r="B1367" s="73" t="s">
        <v>327</v>
      </c>
    </row>
    <row r="1368" spans="2:2">
      <c r="B1368" s="73" t="s">
        <v>327</v>
      </c>
    </row>
    <row r="1369" spans="2:2">
      <c r="B1369" s="73" t="s">
        <v>327</v>
      </c>
    </row>
    <row r="1370" spans="2:2">
      <c r="B1370" s="73" t="s">
        <v>327</v>
      </c>
    </row>
    <row r="1371" spans="2:2">
      <c r="B1371" s="73" t="s">
        <v>327</v>
      </c>
    </row>
    <row r="1372" spans="2:2">
      <c r="B1372" s="73" t="s">
        <v>327</v>
      </c>
    </row>
    <row r="1373" spans="2:2">
      <c r="B1373" s="73" t="s">
        <v>327</v>
      </c>
    </row>
    <row r="1374" spans="2:2">
      <c r="B1374" s="73" t="s">
        <v>327</v>
      </c>
    </row>
    <row r="1375" spans="2:2">
      <c r="B1375" s="73" t="s">
        <v>327</v>
      </c>
    </row>
    <row r="1376" spans="2:2">
      <c r="B1376" s="73" t="s">
        <v>327</v>
      </c>
    </row>
    <row r="1377" spans="2:2">
      <c r="B1377" s="73" t="s">
        <v>327</v>
      </c>
    </row>
    <row r="1378" spans="2:2">
      <c r="B1378" s="73" t="s">
        <v>327</v>
      </c>
    </row>
    <row r="1379" spans="2:2">
      <c r="B1379" s="73" t="s">
        <v>327</v>
      </c>
    </row>
    <row r="1380" spans="2:2">
      <c r="B1380" s="73" t="s">
        <v>327</v>
      </c>
    </row>
    <row r="1381" spans="2:2">
      <c r="B1381" s="73" t="s">
        <v>327</v>
      </c>
    </row>
    <row r="1382" spans="2:2">
      <c r="B1382" s="73" t="s">
        <v>327</v>
      </c>
    </row>
    <row r="1383" spans="2:2">
      <c r="B1383" s="73" t="s">
        <v>327</v>
      </c>
    </row>
    <row r="1384" spans="2:2">
      <c r="B1384" s="73" t="s">
        <v>327</v>
      </c>
    </row>
    <row r="1385" spans="2:2">
      <c r="B1385" s="73" t="s">
        <v>327</v>
      </c>
    </row>
    <row r="1386" spans="2:2">
      <c r="B1386" s="73" t="s">
        <v>327</v>
      </c>
    </row>
    <row r="1387" spans="2:2">
      <c r="B1387" s="73" t="s">
        <v>327</v>
      </c>
    </row>
    <row r="1388" spans="2:2">
      <c r="B1388" s="73" t="s">
        <v>327</v>
      </c>
    </row>
    <row r="1389" spans="2:2">
      <c r="B1389" s="73" t="s">
        <v>327</v>
      </c>
    </row>
    <row r="1390" spans="2:2">
      <c r="B1390" s="73" t="s">
        <v>327</v>
      </c>
    </row>
    <row r="1391" spans="2:2">
      <c r="B1391" s="73" t="s">
        <v>327</v>
      </c>
    </row>
    <row r="1392" spans="2:2">
      <c r="B1392" s="73" t="s">
        <v>327</v>
      </c>
    </row>
    <row r="1393" spans="2:2">
      <c r="B1393" s="73" t="s">
        <v>327</v>
      </c>
    </row>
    <row r="1394" spans="2:2">
      <c r="B1394" s="73" t="s">
        <v>327</v>
      </c>
    </row>
    <row r="1395" spans="2:2">
      <c r="B1395" s="73" t="s">
        <v>327</v>
      </c>
    </row>
    <row r="1396" spans="2:2">
      <c r="B1396" s="73" t="s">
        <v>327</v>
      </c>
    </row>
    <row r="1397" spans="2:2">
      <c r="B1397" s="73" t="s">
        <v>327</v>
      </c>
    </row>
    <row r="1398" spans="2:2">
      <c r="B1398" s="73" t="s">
        <v>327</v>
      </c>
    </row>
    <row r="1399" spans="2:2">
      <c r="B1399" s="73" t="s">
        <v>327</v>
      </c>
    </row>
    <row r="1400" spans="2:2">
      <c r="B1400" s="73" t="s">
        <v>327</v>
      </c>
    </row>
    <row r="1401" spans="2:2">
      <c r="B1401" s="73" t="s">
        <v>327</v>
      </c>
    </row>
    <row r="1402" spans="2:2">
      <c r="B1402" s="73" t="s">
        <v>327</v>
      </c>
    </row>
    <row r="1403" spans="2:2">
      <c r="B1403" s="73" t="s">
        <v>327</v>
      </c>
    </row>
    <row r="1404" spans="2:2">
      <c r="B1404" s="73" t="s">
        <v>327</v>
      </c>
    </row>
    <row r="1405" spans="2:2">
      <c r="B1405" s="73" t="s">
        <v>327</v>
      </c>
    </row>
    <row r="1406" spans="2:2">
      <c r="B1406" s="73" t="s">
        <v>327</v>
      </c>
    </row>
    <row r="1407" spans="2:2">
      <c r="B1407" s="73" t="s">
        <v>327</v>
      </c>
    </row>
    <row r="1408" spans="2:2">
      <c r="B1408" s="73" t="s">
        <v>327</v>
      </c>
    </row>
    <row r="1409" spans="2:2">
      <c r="B1409" s="73" t="s">
        <v>327</v>
      </c>
    </row>
    <row r="1410" spans="2:2">
      <c r="B1410" s="73" t="s">
        <v>327</v>
      </c>
    </row>
    <row r="1411" spans="2:2">
      <c r="B1411" s="73" t="s">
        <v>327</v>
      </c>
    </row>
    <row r="1412" spans="2:2">
      <c r="B1412" s="73" t="s">
        <v>327</v>
      </c>
    </row>
    <row r="1413" spans="2:2">
      <c r="B1413" s="73" t="s">
        <v>327</v>
      </c>
    </row>
    <row r="1414" spans="2:2">
      <c r="B1414" s="73" t="s">
        <v>327</v>
      </c>
    </row>
    <row r="1415" spans="2:2">
      <c r="B1415" s="73" t="s">
        <v>327</v>
      </c>
    </row>
    <row r="1416" spans="2:2">
      <c r="B1416" s="73" t="s">
        <v>327</v>
      </c>
    </row>
    <row r="1417" spans="2:2">
      <c r="B1417" s="73" t="s">
        <v>327</v>
      </c>
    </row>
    <row r="1418" spans="2:2">
      <c r="B1418" s="73" t="s">
        <v>327</v>
      </c>
    </row>
    <row r="1419" spans="2:2">
      <c r="B1419" s="73" t="s">
        <v>327</v>
      </c>
    </row>
    <row r="1420" spans="2:2">
      <c r="B1420" s="73" t="s">
        <v>327</v>
      </c>
    </row>
    <row r="1421" spans="2:2">
      <c r="B1421" s="73" t="s">
        <v>327</v>
      </c>
    </row>
    <row r="1422" spans="2:2">
      <c r="B1422" s="73" t="s">
        <v>327</v>
      </c>
    </row>
    <row r="1423" spans="2:2">
      <c r="B1423" s="73" t="s">
        <v>327</v>
      </c>
    </row>
    <row r="1424" spans="2:2">
      <c r="B1424" s="73" t="s">
        <v>327</v>
      </c>
    </row>
    <row r="1425" spans="2:2">
      <c r="B1425" s="73" t="s">
        <v>327</v>
      </c>
    </row>
    <row r="1426" spans="2:2">
      <c r="B1426" s="73" t="s">
        <v>327</v>
      </c>
    </row>
    <row r="1427" spans="2:2">
      <c r="B1427" s="73" t="s">
        <v>327</v>
      </c>
    </row>
    <row r="1428" spans="2:2">
      <c r="B1428" s="73" t="s">
        <v>327</v>
      </c>
    </row>
    <row r="1429" spans="2:2">
      <c r="B1429" s="73" t="s">
        <v>327</v>
      </c>
    </row>
    <row r="1430" spans="2:2">
      <c r="B1430" s="73" t="s">
        <v>327</v>
      </c>
    </row>
    <row r="1431" spans="2:2">
      <c r="B1431" s="73" t="s">
        <v>327</v>
      </c>
    </row>
    <row r="1432" spans="2:2">
      <c r="B1432" s="73" t="s">
        <v>327</v>
      </c>
    </row>
    <row r="1433" spans="2:2">
      <c r="B1433" s="73" t="s">
        <v>327</v>
      </c>
    </row>
    <row r="1434" spans="2:2">
      <c r="B1434" s="73" t="s">
        <v>327</v>
      </c>
    </row>
    <row r="1435" spans="2:2">
      <c r="B1435" s="73" t="s">
        <v>327</v>
      </c>
    </row>
    <row r="1436" spans="2:2">
      <c r="B1436" s="73" t="s">
        <v>327</v>
      </c>
    </row>
    <row r="1437" spans="2:2">
      <c r="B1437" s="73" t="s">
        <v>327</v>
      </c>
    </row>
    <row r="1438" spans="2:2">
      <c r="B1438" s="73" t="s">
        <v>327</v>
      </c>
    </row>
    <row r="1439" spans="2:2">
      <c r="B1439" s="73" t="s">
        <v>327</v>
      </c>
    </row>
    <row r="1440" spans="2:2">
      <c r="B1440" s="73" t="s">
        <v>327</v>
      </c>
    </row>
    <row r="1441" spans="2:2">
      <c r="B1441" s="73" t="s">
        <v>327</v>
      </c>
    </row>
    <row r="1442" spans="2:2">
      <c r="B1442" s="73" t="s">
        <v>327</v>
      </c>
    </row>
    <row r="1443" spans="2:2">
      <c r="B1443" s="73" t="s">
        <v>327</v>
      </c>
    </row>
    <row r="1444" spans="2:2">
      <c r="B1444" s="73" t="s">
        <v>327</v>
      </c>
    </row>
    <row r="1445" spans="2:2">
      <c r="B1445" s="73" t="s">
        <v>327</v>
      </c>
    </row>
    <row r="1446" spans="2:2">
      <c r="B1446" s="73" t="s">
        <v>327</v>
      </c>
    </row>
    <row r="1447" spans="2:2">
      <c r="B1447" s="73" t="s">
        <v>327</v>
      </c>
    </row>
    <row r="1448" spans="2:2">
      <c r="B1448" s="73" t="s">
        <v>327</v>
      </c>
    </row>
    <row r="1449" spans="2:2">
      <c r="B1449" s="73" t="s">
        <v>327</v>
      </c>
    </row>
    <row r="1450" spans="2:2">
      <c r="B1450" s="73" t="s">
        <v>327</v>
      </c>
    </row>
    <row r="1451" spans="2:2">
      <c r="B1451" s="73" t="s">
        <v>327</v>
      </c>
    </row>
    <row r="1452" spans="2:2">
      <c r="B1452" s="73" t="s">
        <v>327</v>
      </c>
    </row>
    <row r="1453" spans="2:2">
      <c r="B1453" s="73" t="s">
        <v>327</v>
      </c>
    </row>
    <row r="1454" spans="2:2">
      <c r="B1454" s="73" t="s">
        <v>327</v>
      </c>
    </row>
    <row r="1455" spans="2:2">
      <c r="B1455" s="73" t="s">
        <v>327</v>
      </c>
    </row>
    <row r="1456" spans="2:2">
      <c r="B1456" s="73" t="s">
        <v>327</v>
      </c>
    </row>
    <row r="1457" spans="2:2">
      <c r="B1457" s="73" t="s">
        <v>327</v>
      </c>
    </row>
    <row r="1458" spans="2:2">
      <c r="B1458" s="73" t="s">
        <v>327</v>
      </c>
    </row>
    <row r="1459" spans="2:2">
      <c r="B1459" s="73" t="s">
        <v>327</v>
      </c>
    </row>
    <row r="1460" spans="2:2">
      <c r="B1460" s="73" t="s">
        <v>327</v>
      </c>
    </row>
    <row r="1461" spans="2:2">
      <c r="B1461" s="73" t="s">
        <v>327</v>
      </c>
    </row>
    <row r="1462" spans="2:2">
      <c r="B1462" s="73" t="s">
        <v>327</v>
      </c>
    </row>
    <row r="1463" spans="2:2">
      <c r="B1463" s="73" t="s">
        <v>327</v>
      </c>
    </row>
    <row r="1464" spans="2:2">
      <c r="B1464" s="73" t="s">
        <v>327</v>
      </c>
    </row>
    <row r="1465" spans="2:2">
      <c r="B1465" s="73" t="s">
        <v>327</v>
      </c>
    </row>
    <row r="1466" spans="2:2">
      <c r="B1466" s="73" t="s">
        <v>327</v>
      </c>
    </row>
    <row r="1467" spans="2:2">
      <c r="B1467" s="73" t="s">
        <v>327</v>
      </c>
    </row>
    <row r="1468" spans="2:2">
      <c r="B1468" s="73" t="s">
        <v>327</v>
      </c>
    </row>
    <row r="1469" spans="2:2">
      <c r="B1469" s="73" t="s">
        <v>327</v>
      </c>
    </row>
    <row r="1470" spans="2:2">
      <c r="B1470" s="73" t="s">
        <v>327</v>
      </c>
    </row>
    <row r="1471" spans="2:2">
      <c r="B1471" s="73" t="s">
        <v>327</v>
      </c>
    </row>
    <row r="1472" spans="2:2">
      <c r="B1472" s="73" t="s">
        <v>327</v>
      </c>
    </row>
    <row r="1473" spans="2:2">
      <c r="B1473" s="73" t="s">
        <v>327</v>
      </c>
    </row>
    <row r="1474" spans="2:2">
      <c r="B1474" s="73" t="s">
        <v>327</v>
      </c>
    </row>
    <row r="1475" spans="2:2">
      <c r="B1475" s="73" t="s">
        <v>327</v>
      </c>
    </row>
    <row r="1476" spans="2:2">
      <c r="B1476" s="73" t="s">
        <v>327</v>
      </c>
    </row>
    <row r="1477" spans="2:2">
      <c r="B1477" s="73" t="s">
        <v>327</v>
      </c>
    </row>
    <row r="1478" spans="2:2">
      <c r="B1478" s="73" t="s">
        <v>327</v>
      </c>
    </row>
    <row r="1479" spans="2:2">
      <c r="B1479" s="73" t="s">
        <v>327</v>
      </c>
    </row>
    <row r="1480" spans="2:2">
      <c r="B1480" s="73" t="s">
        <v>327</v>
      </c>
    </row>
    <row r="1481" spans="2:2">
      <c r="B1481" s="73" t="s">
        <v>327</v>
      </c>
    </row>
    <row r="1482" spans="2:2">
      <c r="B1482" s="73" t="s">
        <v>327</v>
      </c>
    </row>
    <row r="1483" spans="2:2">
      <c r="B1483" s="73" t="s">
        <v>327</v>
      </c>
    </row>
    <row r="1484" spans="2:2">
      <c r="B1484" s="73" t="s">
        <v>327</v>
      </c>
    </row>
    <row r="1485" spans="2:2">
      <c r="B1485" s="73" t="s">
        <v>327</v>
      </c>
    </row>
    <row r="1486" spans="2:2">
      <c r="B1486" s="73" t="s">
        <v>327</v>
      </c>
    </row>
    <row r="1487" spans="2:2">
      <c r="B1487" s="73" t="s">
        <v>327</v>
      </c>
    </row>
    <row r="1488" spans="2:2">
      <c r="B1488" s="73" t="s">
        <v>327</v>
      </c>
    </row>
    <row r="1489" spans="2:2">
      <c r="B1489" s="73" t="s">
        <v>327</v>
      </c>
    </row>
    <row r="1490" spans="2:2">
      <c r="B1490" s="73" t="s">
        <v>327</v>
      </c>
    </row>
    <row r="1491" spans="2:2">
      <c r="B1491" s="73" t="s">
        <v>327</v>
      </c>
    </row>
    <row r="1492" spans="2:2">
      <c r="B1492" s="73" t="s">
        <v>327</v>
      </c>
    </row>
    <row r="1493" spans="2:2">
      <c r="B1493" s="73" t="s">
        <v>327</v>
      </c>
    </row>
    <row r="1494" spans="2:2">
      <c r="B1494" s="73" t="s">
        <v>327</v>
      </c>
    </row>
    <row r="1495" spans="2:2">
      <c r="B1495" s="73" t="s">
        <v>327</v>
      </c>
    </row>
    <row r="1496" spans="2:2">
      <c r="B1496" s="73" t="s">
        <v>327</v>
      </c>
    </row>
    <row r="1497" spans="2:2">
      <c r="B1497" s="73" t="s">
        <v>327</v>
      </c>
    </row>
    <row r="1498" spans="2:2">
      <c r="B1498" s="73" t="s">
        <v>327</v>
      </c>
    </row>
    <row r="1499" spans="2:2">
      <c r="B1499" s="73" t="s">
        <v>327</v>
      </c>
    </row>
    <row r="1500" spans="2:2">
      <c r="B1500" s="73" t="s">
        <v>327</v>
      </c>
    </row>
    <row r="1501" spans="2:2">
      <c r="B1501" s="73" t="s">
        <v>327</v>
      </c>
    </row>
    <row r="1502" spans="2:2">
      <c r="B1502" s="73" t="s">
        <v>327</v>
      </c>
    </row>
    <row r="1503" spans="2:2">
      <c r="B1503" s="73" t="s">
        <v>327</v>
      </c>
    </row>
    <row r="1504" spans="2:2">
      <c r="B1504" s="73" t="s">
        <v>327</v>
      </c>
    </row>
    <row r="1505" spans="2:2">
      <c r="B1505" s="73" t="s">
        <v>327</v>
      </c>
    </row>
    <row r="1506" spans="2:2">
      <c r="B1506" s="73" t="s">
        <v>327</v>
      </c>
    </row>
    <row r="1507" spans="2:2">
      <c r="B1507" s="73" t="s">
        <v>327</v>
      </c>
    </row>
    <row r="1508" spans="2:2">
      <c r="B1508" s="73" t="s">
        <v>327</v>
      </c>
    </row>
    <row r="1509" spans="2:2">
      <c r="B1509" s="73" t="s">
        <v>327</v>
      </c>
    </row>
    <row r="1510" spans="2:2">
      <c r="B1510" s="73" t="s">
        <v>327</v>
      </c>
    </row>
    <row r="1511" spans="2:2">
      <c r="B1511" s="73" t="s">
        <v>327</v>
      </c>
    </row>
    <row r="1512" spans="2:2">
      <c r="B1512" s="73" t="s">
        <v>327</v>
      </c>
    </row>
    <row r="1513" spans="2:2">
      <c r="B1513" s="73" t="s">
        <v>327</v>
      </c>
    </row>
    <row r="1514" spans="2:2">
      <c r="B1514" s="73" t="s">
        <v>327</v>
      </c>
    </row>
    <row r="1515" spans="2:2">
      <c r="B1515" s="73" t="s">
        <v>327</v>
      </c>
    </row>
    <row r="1516" spans="2:2">
      <c r="B1516" s="73" t="s">
        <v>327</v>
      </c>
    </row>
    <row r="1517" spans="2:2">
      <c r="B1517" s="73" t="s">
        <v>327</v>
      </c>
    </row>
    <row r="1518" spans="2:2">
      <c r="B1518" s="73" t="s">
        <v>327</v>
      </c>
    </row>
    <row r="1519" spans="2:2">
      <c r="B1519" s="73" t="s">
        <v>327</v>
      </c>
    </row>
    <row r="1520" spans="2:2">
      <c r="B1520" s="73" t="s">
        <v>327</v>
      </c>
    </row>
    <row r="1521" spans="2:2">
      <c r="B1521" s="73" t="s">
        <v>327</v>
      </c>
    </row>
    <row r="1522" spans="2:2">
      <c r="B1522" s="73" t="s">
        <v>327</v>
      </c>
    </row>
    <row r="1523" spans="2:2">
      <c r="B1523" s="73" t="s">
        <v>327</v>
      </c>
    </row>
    <row r="1524" spans="2:2">
      <c r="B1524" s="73" t="s">
        <v>327</v>
      </c>
    </row>
    <row r="1525" spans="2:2">
      <c r="B1525" s="73" t="s">
        <v>327</v>
      </c>
    </row>
    <row r="1526" spans="2:2">
      <c r="B1526" s="73" t="s">
        <v>327</v>
      </c>
    </row>
    <row r="1527" spans="2:2">
      <c r="B1527" s="73" t="s">
        <v>327</v>
      </c>
    </row>
    <row r="1528" spans="2:2">
      <c r="B1528" s="73" t="s">
        <v>327</v>
      </c>
    </row>
    <row r="1529" spans="2:2">
      <c r="B1529" s="73" t="s">
        <v>327</v>
      </c>
    </row>
    <row r="1530" spans="2:2">
      <c r="B1530" s="73" t="s">
        <v>327</v>
      </c>
    </row>
    <row r="1531" spans="2:2">
      <c r="B1531" s="73" t="s">
        <v>327</v>
      </c>
    </row>
    <row r="1532" spans="2:2">
      <c r="B1532" s="73" t="s">
        <v>327</v>
      </c>
    </row>
    <row r="1533" spans="2:2">
      <c r="B1533" s="73" t="s">
        <v>327</v>
      </c>
    </row>
    <row r="1534" spans="2:2">
      <c r="B1534" s="73" t="s">
        <v>327</v>
      </c>
    </row>
    <row r="1535" spans="2:2">
      <c r="B1535" s="73" t="s">
        <v>327</v>
      </c>
    </row>
    <row r="1536" spans="2:2">
      <c r="B1536" s="73" t="s">
        <v>327</v>
      </c>
    </row>
    <row r="1537" spans="2:2">
      <c r="B1537" s="73" t="s">
        <v>327</v>
      </c>
    </row>
    <row r="1538" spans="2:2">
      <c r="B1538" s="73" t="s">
        <v>327</v>
      </c>
    </row>
    <row r="1539" spans="2:2">
      <c r="B1539" s="73" t="s">
        <v>327</v>
      </c>
    </row>
    <row r="1540" spans="2:2">
      <c r="B1540" s="73" t="s">
        <v>327</v>
      </c>
    </row>
    <row r="1541" spans="2:2">
      <c r="B1541" s="73" t="s">
        <v>327</v>
      </c>
    </row>
    <row r="1542" spans="2:2">
      <c r="B1542" s="73" t="s">
        <v>327</v>
      </c>
    </row>
    <row r="1543" spans="2:2">
      <c r="B1543" s="73" t="s">
        <v>327</v>
      </c>
    </row>
    <row r="1544" spans="2:2">
      <c r="B1544" s="73" t="s">
        <v>327</v>
      </c>
    </row>
    <row r="1545" spans="2:2">
      <c r="B1545" s="73" t="s">
        <v>327</v>
      </c>
    </row>
    <row r="1546" spans="2:2">
      <c r="B1546" s="73" t="s">
        <v>327</v>
      </c>
    </row>
    <row r="1547" spans="2:2">
      <c r="B1547" s="73" t="s">
        <v>327</v>
      </c>
    </row>
    <row r="1548" spans="2:2">
      <c r="B1548" s="73" t="s">
        <v>327</v>
      </c>
    </row>
    <row r="1549" spans="2:2">
      <c r="B1549" s="73" t="s">
        <v>327</v>
      </c>
    </row>
    <row r="1550" spans="2:2">
      <c r="B1550" s="73" t="s">
        <v>327</v>
      </c>
    </row>
    <row r="1551" spans="2:2">
      <c r="B1551" s="73" t="s">
        <v>327</v>
      </c>
    </row>
    <row r="1552" spans="2:2">
      <c r="B1552" s="73" t="s">
        <v>327</v>
      </c>
    </row>
    <row r="1553" spans="2:2">
      <c r="B1553" s="73" t="s">
        <v>327</v>
      </c>
    </row>
    <row r="1554" spans="2:2">
      <c r="B1554" s="73" t="s">
        <v>327</v>
      </c>
    </row>
    <row r="1555" spans="2:2">
      <c r="B1555" s="73" t="s">
        <v>327</v>
      </c>
    </row>
    <row r="1556" spans="2:2">
      <c r="B1556" s="73" t="s">
        <v>327</v>
      </c>
    </row>
    <row r="1557" spans="2:2">
      <c r="B1557" s="73" t="s">
        <v>327</v>
      </c>
    </row>
    <row r="1558" spans="2:2">
      <c r="B1558" s="73" t="s">
        <v>327</v>
      </c>
    </row>
    <row r="1559" spans="2:2">
      <c r="B1559" s="73" t="s">
        <v>327</v>
      </c>
    </row>
    <row r="1560" spans="2:2">
      <c r="B1560" s="73" t="s">
        <v>327</v>
      </c>
    </row>
    <row r="1561" spans="2:2">
      <c r="B1561" s="73" t="s">
        <v>327</v>
      </c>
    </row>
    <row r="1562" spans="2:2">
      <c r="B1562" s="73" t="s">
        <v>327</v>
      </c>
    </row>
    <row r="1563" spans="2:2">
      <c r="B1563" s="73" t="s">
        <v>327</v>
      </c>
    </row>
    <row r="1564" spans="2:2">
      <c r="B1564" s="73" t="s">
        <v>327</v>
      </c>
    </row>
    <row r="1565" spans="2:2">
      <c r="B1565" s="73" t="s">
        <v>327</v>
      </c>
    </row>
    <row r="1566" spans="2:2">
      <c r="B1566" s="73" t="s">
        <v>327</v>
      </c>
    </row>
    <row r="1567" spans="2:2">
      <c r="B1567" s="73" t="s">
        <v>327</v>
      </c>
    </row>
    <row r="1568" spans="2:2">
      <c r="B1568" s="73" t="s">
        <v>327</v>
      </c>
    </row>
    <row r="1569" spans="2:2">
      <c r="B1569" s="73" t="s">
        <v>327</v>
      </c>
    </row>
    <row r="1570" spans="2:2">
      <c r="B1570" s="73" t="s">
        <v>327</v>
      </c>
    </row>
    <row r="1571" spans="2:2">
      <c r="B1571" s="73" t="s">
        <v>327</v>
      </c>
    </row>
    <row r="1572" spans="2:2">
      <c r="B1572" s="73" t="s">
        <v>327</v>
      </c>
    </row>
    <row r="1573" spans="2:2">
      <c r="B1573" s="73" t="s">
        <v>327</v>
      </c>
    </row>
    <row r="1574" spans="2:2">
      <c r="B1574" s="73" t="s">
        <v>327</v>
      </c>
    </row>
    <row r="1575" spans="2:2">
      <c r="B1575" s="73" t="s">
        <v>327</v>
      </c>
    </row>
    <row r="1576" spans="2:2">
      <c r="B1576" s="73" t="s">
        <v>327</v>
      </c>
    </row>
    <row r="1577" spans="2:2">
      <c r="B1577" s="73" t="s">
        <v>327</v>
      </c>
    </row>
    <row r="1578" spans="2:2">
      <c r="B1578" s="73" t="s">
        <v>327</v>
      </c>
    </row>
    <row r="1579" spans="2:2">
      <c r="B1579" s="73" t="s">
        <v>327</v>
      </c>
    </row>
    <row r="1580" spans="2:2">
      <c r="B1580" s="73" t="s">
        <v>327</v>
      </c>
    </row>
    <row r="1581" spans="2:2">
      <c r="B1581" s="73" t="s">
        <v>327</v>
      </c>
    </row>
    <row r="1582" spans="2:2">
      <c r="B1582" s="73" t="s">
        <v>327</v>
      </c>
    </row>
    <row r="1583" spans="2:2">
      <c r="B1583" s="73" t="s">
        <v>327</v>
      </c>
    </row>
    <row r="1584" spans="2:2">
      <c r="B1584" s="73" t="s">
        <v>327</v>
      </c>
    </row>
    <row r="1585" spans="2:2">
      <c r="B1585" s="73" t="s">
        <v>327</v>
      </c>
    </row>
    <row r="1586" spans="2:2">
      <c r="B1586" s="73" t="s">
        <v>327</v>
      </c>
    </row>
    <row r="1587" spans="2:2">
      <c r="B1587" s="73" t="s">
        <v>327</v>
      </c>
    </row>
    <row r="1588" spans="2:2">
      <c r="B1588" s="73" t="s">
        <v>327</v>
      </c>
    </row>
    <row r="1589" spans="2:2">
      <c r="B1589" s="73" t="s">
        <v>327</v>
      </c>
    </row>
    <row r="1590" spans="2:2">
      <c r="B1590" s="73" t="s">
        <v>327</v>
      </c>
    </row>
    <row r="1591" spans="2:2">
      <c r="B1591" s="73" t="s">
        <v>327</v>
      </c>
    </row>
    <row r="1592" spans="2:2">
      <c r="B1592" s="73" t="s">
        <v>327</v>
      </c>
    </row>
    <row r="1593" spans="2:2">
      <c r="B1593" s="73" t="s">
        <v>327</v>
      </c>
    </row>
    <row r="1594" spans="2:2">
      <c r="B1594" s="73" t="s">
        <v>327</v>
      </c>
    </row>
    <row r="1595" spans="2:2">
      <c r="B1595" s="73" t="s">
        <v>327</v>
      </c>
    </row>
    <row r="1596" spans="2:2">
      <c r="B1596" s="73" t="s">
        <v>327</v>
      </c>
    </row>
    <row r="1597" spans="2:2">
      <c r="B1597" s="73" t="s">
        <v>327</v>
      </c>
    </row>
    <row r="1598" spans="2:2">
      <c r="B1598" s="73" t="s">
        <v>327</v>
      </c>
    </row>
    <row r="1599" spans="2:2">
      <c r="B1599" s="73" t="s">
        <v>327</v>
      </c>
    </row>
    <row r="1600" spans="2:2">
      <c r="B1600" s="73" t="s">
        <v>327</v>
      </c>
    </row>
    <row r="1601" spans="2:2">
      <c r="B1601" s="73" t="s">
        <v>327</v>
      </c>
    </row>
    <row r="1602" spans="2:2">
      <c r="B1602" s="73" t="s">
        <v>327</v>
      </c>
    </row>
    <row r="1603" spans="2:2">
      <c r="B1603" s="73" t="s">
        <v>327</v>
      </c>
    </row>
    <row r="1604" spans="2:2">
      <c r="B1604" s="73" t="s">
        <v>327</v>
      </c>
    </row>
    <row r="1605" spans="2:2">
      <c r="B1605" s="73" t="s">
        <v>327</v>
      </c>
    </row>
    <row r="1606" spans="2:2">
      <c r="B1606" s="73" t="s">
        <v>327</v>
      </c>
    </row>
    <row r="1607" spans="2:2">
      <c r="B1607" s="73" t="s">
        <v>327</v>
      </c>
    </row>
    <row r="1608" spans="2:2">
      <c r="B1608" s="73" t="s">
        <v>327</v>
      </c>
    </row>
    <row r="1609" spans="2:2">
      <c r="B1609" s="73" t="s">
        <v>327</v>
      </c>
    </row>
    <row r="1610" spans="2:2">
      <c r="B1610" s="73" t="s">
        <v>327</v>
      </c>
    </row>
    <row r="1611" spans="2:2">
      <c r="B1611" s="73" t="s">
        <v>327</v>
      </c>
    </row>
    <row r="1612" spans="2:2">
      <c r="B1612" s="73" t="s">
        <v>327</v>
      </c>
    </row>
    <row r="1613" spans="2:2">
      <c r="B1613" s="73" t="s">
        <v>327</v>
      </c>
    </row>
    <row r="1614" spans="2:2">
      <c r="B1614" s="73" t="s">
        <v>327</v>
      </c>
    </row>
    <row r="1615" spans="2:2">
      <c r="B1615" s="73" t="s">
        <v>327</v>
      </c>
    </row>
    <row r="1616" spans="2:2">
      <c r="B1616" s="73" t="s">
        <v>327</v>
      </c>
    </row>
    <row r="1617" spans="2:2">
      <c r="B1617" s="73" t="s">
        <v>327</v>
      </c>
    </row>
    <row r="1618" spans="2:2">
      <c r="B1618" s="73" t="s">
        <v>327</v>
      </c>
    </row>
    <row r="1619" spans="2:2">
      <c r="B1619" s="73" t="s">
        <v>327</v>
      </c>
    </row>
    <row r="1620" spans="2:2">
      <c r="B1620" s="73" t="s">
        <v>327</v>
      </c>
    </row>
    <row r="1621" spans="2:2">
      <c r="B1621" s="73" t="s">
        <v>327</v>
      </c>
    </row>
    <row r="1622" spans="2:2">
      <c r="B1622" s="73" t="s">
        <v>327</v>
      </c>
    </row>
    <row r="1623" spans="2:2">
      <c r="B1623" s="73" t="s">
        <v>327</v>
      </c>
    </row>
    <row r="1624" spans="2:2">
      <c r="B1624" s="73" t="s">
        <v>327</v>
      </c>
    </row>
    <row r="1625" spans="2:2">
      <c r="B1625" s="73" t="s">
        <v>327</v>
      </c>
    </row>
    <row r="1626" spans="2:2">
      <c r="B1626" s="73" t="s">
        <v>327</v>
      </c>
    </row>
    <row r="1627" spans="2:2">
      <c r="B1627" s="73" t="s">
        <v>327</v>
      </c>
    </row>
    <row r="1628" spans="2:2">
      <c r="B1628" s="73" t="s">
        <v>327</v>
      </c>
    </row>
    <row r="1629" spans="2:2">
      <c r="B1629" s="73" t="s">
        <v>327</v>
      </c>
    </row>
    <row r="1630" spans="2:2">
      <c r="B1630" s="73" t="s">
        <v>327</v>
      </c>
    </row>
    <row r="1631" spans="2:2">
      <c r="B1631" s="73" t="s">
        <v>327</v>
      </c>
    </row>
    <row r="1632" spans="2:2">
      <c r="B1632" s="73" t="s">
        <v>327</v>
      </c>
    </row>
    <row r="1633" spans="2:2">
      <c r="B1633" s="73" t="s">
        <v>327</v>
      </c>
    </row>
    <row r="1634" spans="2:2">
      <c r="B1634" s="73" t="s">
        <v>327</v>
      </c>
    </row>
    <row r="1635" spans="2:2">
      <c r="B1635" s="73" t="s">
        <v>327</v>
      </c>
    </row>
    <row r="1636" spans="2:2">
      <c r="B1636" s="73" t="s">
        <v>327</v>
      </c>
    </row>
    <row r="1637" spans="2:2">
      <c r="B1637" s="73" t="s">
        <v>327</v>
      </c>
    </row>
    <row r="1638" spans="2:2">
      <c r="B1638" s="73" t="s">
        <v>327</v>
      </c>
    </row>
    <row r="1639" spans="2:2">
      <c r="B1639" s="73" t="s">
        <v>327</v>
      </c>
    </row>
    <row r="1640" spans="2:2">
      <c r="B1640" s="73" t="s">
        <v>327</v>
      </c>
    </row>
    <row r="1641" spans="2:2">
      <c r="B1641" s="73" t="s">
        <v>327</v>
      </c>
    </row>
    <row r="1642" spans="2:2">
      <c r="B1642" s="73" t="s">
        <v>327</v>
      </c>
    </row>
    <row r="1643" spans="2:2">
      <c r="B1643" s="73" t="s">
        <v>327</v>
      </c>
    </row>
    <row r="1644" spans="2:2">
      <c r="B1644" s="73" t="s">
        <v>327</v>
      </c>
    </row>
    <row r="1645" spans="2:2">
      <c r="B1645" s="73" t="s">
        <v>327</v>
      </c>
    </row>
    <row r="1646" spans="2:2">
      <c r="B1646" s="73" t="s">
        <v>327</v>
      </c>
    </row>
    <row r="1647" spans="2:2">
      <c r="B1647" s="73" t="s">
        <v>327</v>
      </c>
    </row>
    <row r="1648" spans="2:2">
      <c r="B1648" s="73" t="s">
        <v>327</v>
      </c>
    </row>
    <row r="1649" spans="2:2">
      <c r="B1649" s="73" t="s">
        <v>327</v>
      </c>
    </row>
    <row r="1650" spans="2:2">
      <c r="B1650" s="73" t="s">
        <v>327</v>
      </c>
    </row>
    <row r="1651" spans="2:2">
      <c r="B1651" s="73" t="s">
        <v>327</v>
      </c>
    </row>
    <row r="1652" spans="2:2">
      <c r="B1652" s="73" t="s">
        <v>327</v>
      </c>
    </row>
    <row r="1653" spans="2:2">
      <c r="B1653" s="73" t="s">
        <v>327</v>
      </c>
    </row>
    <row r="1654" spans="2:2">
      <c r="B1654" s="73" t="s">
        <v>327</v>
      </c>
    </row>
    <row r="1655" spans="2:2">
      <c r="B1655" s="73" t="s">
        <v>327</v>
      </c>
    </row>
    <row r="1656" spans="2:2">
      <c r="B1656" s="73" t="s">
        <v>327</v>
      </c>
    </row>
    <row r="1657" spans="2:2">
      <c r="B1657" s="73" t="s">
        <v>327</v>
      </c>
    </row>
    <row r="1658" spans="2:2">
      <c r="B1658" s="73" t="s">
        <v>327</v>
      </c>
    </row>
    <row r="1659" spans="2:2">
      <c r="B1659" s="73" t="s">
        <v>327</v>
      </c>
    </row>
    <row r="1660" spans="2:2">
      <c r="B1660" s="73" t="s">
        <v>327</v>
      </c>
    </row>
    <row r="1661" spans="2:2">
      <c r="B1661" s="73" t="s">
        <v>327</v>
      </c>
    </row>
    <row r="1662" spans="2:2">
      <c r="B1662" s="73" t="s">
        <v>327</v>
      </c>
    </row>
    <row r="1663" spans="2:2">
      <c r="B1663" s="73" t="s">
        <v>327</v>
      </c>
    </row>
    <row r="1664" spans="2:2">
      <c r="B1664" s="73" t="s">
        <v>327</v>
      </c>
    </row>
    <row r="1665" spans="2:2">
      <c r="B1665" s="73" t="s">
        <v>327</v>
      </c>
    </row>
    <row r="1666" spans="2:2">
      <c r="B1666" s="73" t="s">
        <v>327</v>
      </c>
    </row>
    <row r="1667" spans="2:2">
      <c r="B1667" s="73" t="s">
        <v>327</v>
      </c>
    </row>
    <row r="1668" spans="2:2">
      <c r="B1668" s="73" t="s">
        <v>327</v>
      </c>
    </row>
    <row r="1669" spans="2:2">
      <c r="B1669" s="73" t="s">
        <v>327</v>
      </c>
    </row>
    <row r="1670" spans="2:2">
      <c r="B1670" s="73" t="s">
        <v>327</v>
      </c>
    </row>
    <row r="1671" spans="2:2">
      <c r="B1671" s="73" t="s">
        <v>327</v>
      </c>
    </row>
    <row r="1672" spans="2:2">
      <c r="B1672" s="73" t="s">
        <v>327</v>
      </c>
    </row>
    <row r="1673" spans="2:2">
      <c r="B1673" s="73" t="s">
        <v>327</v>
      </c>
    </row>
    <row r="1674" spans="2:2">
      <c r="B1674" s="73" t="s">
        <v>327</v>
      </c>
    </row>
    <row r="1675" spans="2:2">
      <c r="B1675" s="73" t="s">
        <v>327</v>
      </c>
    </row>
    <row r="1676" spans="2:2">
      <c r="B1676" s="73" t="s">
        <v>327</v>
      </c>
    </row>
    <row r="1677" spans="2:2">
      <c r="B1677" s="73" t="s">
        <v>327</v>
      </c>
    </row>
    <row r="1678" spans="2:2">
      <c r="B1678" s="73" t="s">
        <v>327</v>
      </c>
    </row>
    <row r="1679" spans="2:2">
      <c r="B1679" s="73" t="s">
        <v>327</v>
      </c>
    </row>
    <row r="1680" spans="2:2">
      <c r="B1680" s="73" t="s">
        <v>327</v>
      </c>
    </row>
    <row r="1681" spans="2:2">
      <c r="B1681" s="73" t="s">
        <v>327</v>
      </c>
    </row>
    <row r="1682" spans="2:2">
      <c r="B1682" s="73" t="s">
        <v>327</v>
      </c>
    </row>
    <row r="1683" spans="2:2">
      <c r="B1683" s="73" t="s">
        <v>327</v>
      </c>
    </row>
    <row r="1684" spans="2:2">
      <c r="B1684" s="73" t="s">
        <v>327</v>
      </c>
    </row>
    <row r="1685" spans="2:2">
      <c r="B1685" s="73" t="s">
        <v>327</v>
      </c>
    </row>
    <row r="1686" spans="2:2">
      <c r="B1686" s="73" t="s">
        <v>327</v>
      </c>
    </row>
    <row r="1687" spans="2:2">
      <c r="B1687" s="73" t="s">
        <v>327</v>
      </c>
    </row>
    <row r="1688" spans="2:2">
      <c r="B1688" s="73" t="s">
        <v>327</v>
      </c>
    </row>
    <row r="1689" spans="2:2">
      <c r="B1689" s="73" t="s">
        <v>327</v>
      </c>
    </row>
    <row r="1690" spans="2:2">
      <c r="B1690" s="73" t="s">
        <v>327</v>
      </c>
    </row>
    <row r="1691" spans="2:2">
      <c r="B1691" s="73" t="s">
        <v>327</v>
      </c>
    </row>
    <row r="1692" spans="2:2">
      <c r="B1692" s="73" t="s">
        <v>327</v>
      </c>
    </row>
    <row r="1693" spans="2:2">
      <c r="B1693" s="73" t="s">
        <v>327</v>
      </c>
    </row>
    <row r="1694" spans="2:2">
      <c r="B1694" s="73" t="s">
        <v>327</v>
      </c>
    </row>
    <row r="1695" spans="2:2">
      <c r="B1695" s="73" t="s">
        <v>327</v>
      </c>
    </row>
    <row r="1696" spans="2:2">
      <c r="B1696" s="73" t="s">
        <v>327</v>
      </c>
    </row>
    <row r="1697" spans="2:2">
      <c r="B1697" s="73" t="s">
        <v>327</v>
      </c>
    </row>
    <row r="1698" spans="2:2">
      <c r="B1698" s="73" t="s">
        <v>327</v>
      </c>
    </row>
    <row r="1699" spans="2:2">
      <c r="B1699" s="73" t="s">
        <v>327</v>
      </c>
    </row>
    <row r="1700" spans="2:2">
      <c r="B1700" s="73" t="s">
        <v>327</v>
      </c>
    </row>
    <row r="1701" spans="2:2">
      <c r="B1701" s="73" t="s">
        <v>327</v>
      </c>
    </row>
    <row r="1702" spans="2:2">
      <c r="B1702" s="73" t="s">
        <v>327</v>
      </c>
    </row>
    <row r="1703" spans="2:2">
      <c r="B1703" s="73" t="s">
        <v>327</v>
      </c>
    </row>
    <row r="1704" spans="2:2">
      <c r="B1704" s="73" t="s">
        <v>327</v>
      </c>
    </row>
    <row r="1705" spans="2:2">
      <c r="B1705" s="73" t="s">
        <v>327</v>
      </c>
    </row>
    <row r="1706" spans="2:2">
      <c r="B1706" s="73" t="s">
        <v>327</v>
      </c>
    </row>
    <row r="1707" spans="2:2">
      <c r="B1707" s="73" t="s">
        <v>327</v>
      </c>
    </row>
    <row r="1708" spans="2:2">
      <c r="B1708" s="73" t="s">
        <v>327</v>
      </c>
    </row>
    <row r="1709" spans="2:2">
      <c r="B1709" s="73" t="s">
        <v>327</v>
      </c>
    </row>
    <row r="1710" spans="2:2">
      <c r="B1710" s="73" t="s">
        <v>327</v>
      </c>
    </row>
    <row r="1711" spans="2:2">
      <c r="B1711" s="73" t="s">
        <v>327</v>
      </c>
    </row>
    <row r="1712" spans="2:2">
      <c r="B1712" s="73" t="s">
        <v>327</v>
      </c>
    </row>
    <row r="1713" spans="2:2">
      <c r="B1713" s="73" t="s">
        <v>327</v>
      </c>
    </row>
    <row r="1714" spans="2:2">
      <c r="B1714" s="73" t="s">
        <v>327</v>
      </c>
    </row>
    <row r="1715" spans="2:2">
      <c r="B1715" s="73" t="s">
        <v>327</v>
      </c>
    </row>
    <row r="1716" spans="2:2">
      <c r="B1716" s="73" t="s">
        <v>327</v>
      </c>
    </row>
    <row r="1717" spans="2:2">
      <c r="B1717" s="73" t="s">
        <v>327</v>
      </c>
    </row>
    <row r="1718" spans="2:2">
      <c r="B1718" s="73" t="s">
        <v>327</v>
      </c>
    </row>
    <row r="1719" spans="2:2">
      <c r="B1719" s="73" t="s">
        <v>327</v>
      </c>
    </row>
    <row r="1720" spans="2:2">
      <c r="B1720" s="73" t="s">
        <v>327</v>
      </c>
    </row>
    <row r="1721" spans="2:2">
      <c r="B1721" s="73" t="s">
        <v>327</v>
      </c>
    </row>
    <row r="1722" spans="2:2">
      <c r="B1722" s="73" t="s">
        <v>327</v>
      </c>
    </row>
    <row r="1723" spans="2:2">
      <c r="B1723" s="73" t="s">
        <v>327</v>
      </c>
    </row>
    <row r="1724" spans="2:2">
      <c r="B1724" s="73" t="s">
        <v>327</v>
      </c>
    </row>
    <row r="1725" spans="2:2">
      <c r="B1725" s="73" t="s">
        <v>327</v>
      </c>
    </row>
    <row r="1726" spans="2:2">
      <c r="B1726" s="73" t="s">
        <v>327</v>
      </c>
    </row>
    <row r="1727" spans="2:2">
      <c r="B1727" s="73" t="s">
        <v>327</v>
      </c>
    </row>
    <row r="1728" spans="2:2">
      <c r="B1728" s="73" t="s">
        <v>327</v>
      </c>
    </row>
    <row r="1729" spans="2:2">
      <c r="B1729" s="73" t="s">
        <v>327</v>
      </c>
    </row>
    <row r="1730" spans="2:2">
      <c r="B1730" s="73" t="s">
        <v>327</v>
      </c>
    </row>
    <row r="1731" spans="2:2">
      <c r="B1731" s="73" t="s">
        <v>327</v>
      </c>
    </row>
    <row r="1732" spans="2:2">
      <c r="B1732" s="73" t="s">
        <v>327</v>
      </c>
    </row>
    <row r="1733" spans="2:2">
      <c r="B1733" s="73" t="s">
        <v>327</v>
      </c>
    </row>
    <row r="1734" spans="2:2">
      <c r="B1734" s="73" t="s">
        <v>327</v>
      </c>
    </row>
    <row r="1735" spans="2:2">
      <c r="B1735" s="73" t="s">
        <v>327</v>
      </c>
    </row>
    <row r="1736" spans="2:2">
      <c r="B1736" s="73" t="s">
        <v>327</v>
      </c>
    </row>
    <row r="1737" spans="2:2">
      <c r="B1737" s="73" t="s">
        <v>327</v>
      </c>
    </row>
    <row r="1738" spans="2:2">
      <c r="B1738" s="73" t="s">
        <v>327</v>
      </c>
    </row>
    <row r="1739" spans="2:2">
      <c r="B1739" s="73" t="s">
        <v>327</v>
      </c>
    </row>
    <row r="1740" spans="2:2">
      <c r="B1740" s="73" t="s">
        <v>327</v>
      </c>
    </row>
    <row r="1741" spans="2:2">
      <c r="B1741" s="73" t="s">
        <v>327</v>
      </c>
    </row>
    <row r="1742" spans="2:2">
      <c r="B1742" s="73" t="s">
        <v>327</v>
      </c>
    </row>
    <row r="1743" spans="2:2">
      <c r="B1743" s="73" t="s">
        <v>327</v>
      </c>
    </row>
    <row r="1744" spans="2:2">
      <c r="B1744" s="73" t="s">
        <v>327</v>
      </c>
    </row>
    <row r="1745" spans="2:2">
      <c r="B1745" s="73" t="s">
        <v>327</v>
      </c>
    </row>
    <row r="1746" spans="2:2">
      <c r="B1746" s="73" t="s">
        <v>327</v>
      </c>
    </row>
    <row r="1747" spans="2:2">
      <c r="B1747" s="73" t="s">
        <v>327</v>
      </c>
    </row>
    <row r="1748" spans="2:2">
      <c r="B1748" s="73" t="s">
        <v>327</v>
      </c>
    </row>
    <row r="1749" spans="2:2">
      <c r="B1749" s="73" t="s">
        <v>327</v>
      </c>
    </row>
    <row r="1750" spans="2:2">
      <c r="B1750" s="73" t="s">
        <v>327</v>
      </c>
    </row>
    <row r="1751" spans="2:2">
      <c r="B1751" s="73" t="s">
        <v>327</v>
      </c>
    </row>
    <row r="1752" spans="2:2">
      <c r="B1752" s="73" t="s">
        <v>327</v>
      </c>
    </row>
    <row r="1753" spans="2:2">
      <c r="B1753" s="73" t="s">
        <v>327</v>
      </c>
    </row>
    <row r="1754" spans="2:2">
      <c r="B1754" s="73" t="s">
        <v>327</v>
      </c>
    </row>
    <row r="1755" spans="2:2">
      <c r="B1755" s="73" t="s">
        <v>327</v>
      </c>
    </row>
    <row r="1756" spans="2:2">
      <c r="B1756" s="73" t="s">
        <v>327</v>
      </c>
    </row>
    <row r="1757" spans="2:2">
      <c r="B1757" s="73" t="s">
        <v>327</v>
      </c>
    </row>
    <row r="1758" spans="2:2">
      <c r="B1758" s="73" t="s">
        <v>327</v>
      </c>
    </row>
    <row r="1759" spans="2:2">
      <c r="B1759" s="73" t="s">
        <v>327</v>
      </c>
    </row>
    <row r="1760" spans="2:2">
      <c r="B1760" s="73" t="s">
        <v>327</v>
      </c>
    </row>
    <row r="1761" spans="2:2">
      <c r="B1761" s="73" t="s">
        <v>327</v>
      </c>
    </row>
    <row r="1762" spans="2:2">
      <c r="B1762" s="73" t="s">
        <v>327</v>
      </c>
    </row>
    <row r="1763" spans="2:2">
      <c r="B1763" s="73" t="s">
        <v>327</v>
      </c>
    </row>
    <row r="1764" spans="2:2">
      <c r="B1764" s="73" t="s">
        <v>327</v>
      </c>
    </row>
    <row r="1765" spans="2:2">
      <c r="B1765" s="73" t="s">
        <v>327</v>
      </c>
    </row>
    <row r="1766" spans="2:2">
      <c r="B1766" s="73" t="s">
        <v>327</v>
      </c>
    </row>
    <row r="1767" spans="2:2">
      <c r="B1767" s="73" t="s">
        <v>327</v>
      </c>
    </row>
    <row r="1768" spans="2:2">
      <c r="B1768" s="73" t="s">
        <v>327</v>
      </c>
    </row>
    <row r="1769" spans="2:2">
      <c r="B1769" s="73" t="s">
        <v>327</v>
      </c>
    </row>
    <row r="1770" spans="2:2">
      <c r="B1770" s="73" t="s">
        <v>327</v>
      </c>
    </row>
    <row r="1771" spans="2:2">
      <c r="B1771" s="73" t="s">
        <v>327</v>
      </c>
    </row>
    <row r="1772" spans="2:2">
      <c r="B1772" s="73" t="s">
        <v>327</v>
      </c>
    </row>
    <row r="1773" spans="2:2">
      <c r="B1773" s="73" t="s">
        <v>327</v>
      </c>
    </row>
    <row r="1774" spans="2:2">
      <c r="B1774" s="73" t="s">
        <v>327</v>
      </c>
    </row>
    <row r="1775" spans="2:2">
      <c r="B1775" s="73" t="s">
        <v>327</v>
      </c>
    </row>
    <row r="1776" spans="2:2">
      <c r="B1776" s="73" t="s">
        <v>327</v>
      </c>
    </row>
    <row r="1777" spans="2:2">
      <c r="B1777" s="73" t="s">
        <v>327</v>
      </c>
    </row>
    <row r="1778" spans="2:2">
      <c r="B1778" s="73" t="s">
        <v>327</v>
      </c>
    </row>
    <row r="1779" spans="2:2">
      <c r="B1779" s="73" t="s">
        <v>327</v>
      </c>
    </row>
    <row r="1780" spans="2:2">
      <c r="B1780" s="73" t="s">
        <v>327</v>
      </c>
    </row>
    <row r="1781" spans="2:2">
      <c r="B1781" s="73" t="s">
        <v>327</v>
      </c>
    </row>
    <row r="1782" spans="2:2">
      <c r="B1782" s="73" t="s">
        <v>327</v>
      </c>
    </row>
    <row r="1783" spans="2:2">
      <c r="B1783" s="73" t="s">
        <v>327</v>
      </c>
    </row>
    <row r="1784" spans="2:2">
      <c r="B1784" s="73" t="s">
        <v>327</v>
      </c>
    </row>
    <row r="1785" spans="2:2">
      <c r="B1785" s="73" t="s">
        <v>327</v>
      </c>
    </row>
    <row r="1786" spans="2:2">
      <c r="B1786" s="73" t="s">
        <v>327</v>
      </c>
    </row>
    <row r="1787" spans="2:2">
      <c r="B1787" s="73" t="s">
        <v>327</v>
      </c>
    </row>
    <row r="1788" spans="2:2">
      <c r="B1788" s="73" t="s">
        <v>327</v>
      </c>
    </row>
    <row r="1789" spans="2:2">
      <c r="B1789" s="73" t="s">
        <v>327</v>
      </c>
    </row>
    <row r="1790" spans="2:2">
      <c r="B1790" s="73" t="s">
        <v>327</v>
      </c>
    </row>
    <row r="1791" spans="2:2">
      <c r="B1791" s="73" t="s">
        <v>327</v>
      </c>
    </row>
    <row r="1792" spans="2:2">
      <c r="B1792" s="73" t="s">
        <v>327</v>
      </c>
    </row>
    <row r="1793" spans="2:2">
      <c r="B1793" s="73" t="s">
        <v>327</v>
      </c>
    </row>
    <row r="1794" spans="2:2">
      <c r="B1794" s="73" t="s">
        <v>327</v>
      </c>
    </row>
    <row r="1795" spans="2:2">
      <c r="B1795" s="73" t="s">
        <v>327</v>
      </c>
    </row>
    <row r="1796" spans="2:2">
      <c r="B1796" s="73" t="s">
        <v>327</v>
      </c>
    </row>
    <row r="1797" spans="2:2">
      <c r="B1797" s="73" t="s">
        <v>327</v>
      </c>
    </row>
    <row r="1798" spans="2:2">
      <c r="B1798" s="73" t="s">
        <v>327</v>
      </c>
    </row>
    <row r="1799" spans="2:2">
      <c r="B1799" s="73" t="s">
        <v>327</v>
      </c>
    </row>
    <row r="1800" spans="2:2">
      <c r="B1800" s="73" t="s">
        <v>327</v>
      </c>
    </row>
    <row r="1801" spans="2:2">
      <c r="B1801" s="73" t="s">
        <v>327</v>
      </c>
    </row>
    <row r="1802" spans="2:2">
      <c r="B1802" s="73" t="s">
        <v>327</v>
      </c>
    </row>
    <row r="1803" spans="2:2">
      <c r="B1803" s="73" t="s">
        <v>327</v>
      </c>
    </row>
    <row r="1804" spans="2:2">
      <c r="B1804" s="73" t="s">
        <v>327</v>
      </c>
    </row>
    <row r="1805" spans="2:2">
      <c r="B1805" s="73" t="s">
        <v>327</v>
      </c>
    </row>
    <row r="1806" spans="2:2">
      <c r="B1806" s="73" t="s">
        <v>327</v>
      </c>
    </row>
    <row r="1807" spans="2:2">
      <c r="B1807" s="73" t="s">
        <v>327</v>
      </c>
    </row>
    <row r="1808" spans="2:2">
      <c r="B1808" s="73" t="s">
        <v>327</v>
      </c>
    </row>
    <row r="1809" spans="2:2">
      <c r="B1809" s="73" t="s">
        <v>327</v>
      </c>
    </row>
    <row r="1810" spans="2:2">
      <c r="B1810" s="73" t="s">
        <v>327</v>
      </c>
    </row>
    <row r="1811" spans="2:2">
      <c r="B1811" s="73" t="s">
        <v>327</v>
      </c>
    </row>
    <row r="1812" spans="2:2">
      <c r="B1812" s="73" t="s">
        <v>327</v>
      </c>
    </row>
    <row r="1813" spans="2:2">
      <c r="B1813" s="73" t="s">
        <v>327</v>
      </c>
    </row>
    <row r="1814" spans="2:2">
      <c r="B1814" s="73" t="s">
        <v>327</v>
      </c>
    </row>
    <row r="1815" spans="2:2">
      <c r="B1815" s="73" t="s">
        <v>327</v>
      </c>
    </row>
    <row r="1816" spans="2:2">
      <c r="B1816" s="73" t="s">
        <v>327</v>
      </c>
    </row>
    <row r="1817" spans="2:2">
      <c r="B1817" s="73" t="s">
        <v>327</v>
      </c>
    </row>
    <row r="1818" spans="2:2">
      <c r="B1818" s="73" t="s">
        <v>327</v>
      </c>
    </row>
    <row r="1819" spans="2:2">
      <c r="B1819" s="73" t="s">
        <v>327</v>
      </c>
    </row>
    <row r="1820" spans="2:2">
      <c r="B1820" s="73" t="s">
        <v>327</v>
      </c>
    </row>
    <row r="1821" spans="2:2">
      <c r="B1821" s="73" t="s">
        <v>327</v>
      </c>
    </row>
    <row r="1822" spans="2:2">
      <c r="B1822" s="73" t="s">
        <v>327</v>
      </c>
    </row>
    <row r="1823" spans="2:2">
      <c r="B1823" s="73" t="s">
        <v>327</v>
      </c>
    </row>
    <row r="1824" spans="2:2">
      <c r="B1824" s="73" t="s">
        <v>327</v>
      </c>
    </row>
    <row r="1825" spans="2:2">
      <c r="B1825" s="73" t="s">
        <v>327</v>
      </c>
    </row>
    <row r="1826" spans="2:2">
      <c r="B1826" s="73" t="s">
        <v>327</v>
      </c>
    </row>
    <row r="1827" spans="2:2">
      <c r="B1827" s="73" t="s">
        <v>327</v>
      </c>
    </row>
    <row r="1828" spans="2:2">
      <c r="B1828" s="73" t="s">
        <v>327</v>
      </c>
    </row>
    <row r="1829" spans="2:2">
      <c r="B1829" s="73" t="s">
        <v>327</v>
      </c>
    </row>
    <row r="1830" spans="2:2">
      <c r="B1830" s="73" t="s">
        <v>327</v>
      </c>
    </row>
    <row r="1831" spans="2:2">
      <c r="B1831" s="73" t="s">
        <v>327</v>
      </c>
    </row>
    <row r="1832" spans="2:2">
      <c r="B1832" s="73" t="s">
        <v>327</v>
      </c>
    </row>
    <row r="1833" spans="2:2">
      <c r="B1833" s="73" t="s">
        <v>327</v>
      </c>
    </row>
    <row r="1834" spans="2:2">
      <c r="B1834" s="73" t="s">
        <v>327</v>
      </c>
    </row>
    <row r="1835" spans="2:2">
      <c r="B1835" s="73" t="s">
        <v>327</v>
      </c>
    </row>
    <row r="1836" spans="2:2">
      <c r="B1836" s="73" t="s">
        <v>327</v>
      </c>
    </row>
    <row r="1837" spans="2:2">
      <c r="B1837" s="73" t="s">
        <v>327</v>
      </c>
    </row>
    <row r="1838" spans="2:2">
      <c r="B1838" s="73" t="s">
        <v>327</v>
      </c>
    </row>
    <row r="1839" spans="2:2">
      <c r="B1839" s="73" t="s">
        <v>327</v>
      </c>
    </row>
    <row r="1840" spans="2:2">
      <c r="B1840" s="73" t="s">
        <v>327</v>
      </c>
    </row>
    <row r="1841" spans="2:2">
      <c r="B1841" s="73" t="s">
        <v>327</v>
      </c>
    </row>
    <row r="1842" spans="2:2">
      <c r="B1842" s="73" t="s">
        <v>327</v>
      </c>
    </row>
    <row r="1843" spans="2:2">
      <c r="B1843" s="73" t="s">
        <v>327</v>
      </c>
    </row>
    <row r="1844" spans="2:2">
      <c r="B1844" s="73" t="s">
        <v>327</v>
      </c>
    </row>
    <row r="1845" spans="2:2">
      <c r="B1845" s="73" t="s">
        <v>327</v>
      </c>
    </row>
    <row r="1846" spans="2:2">
      <c r="B1846" s="73" t="s">
        <v>327</v>
      </c>
    </row>
    <row r="1847" spans="2:2">
      <c r="B1847" s="73" t="s">
        <v>327</v>
      </c>
    </row>
    <row r="1848" spans="2:2">
      <c r="B1848" s="73" t="s">
        <v>327</v>
      </c>
    </row>
    <row r="1849" spans="2:2">
      <c r="B1849" s="73" t="s">
        <v>327</v>
      </c>
    </row>
    <row r="1850" spans="2:2">
      <c r="B1850" s="73" t="s">
        <v>327</v>
      </c>
    </row>
    <row r="1851" spans="2:2">
      <c r="B1851" s="73" t="s">
        <v>327</v>
      </c>
    </row>
    <row r="1852" spans="2:2">
      <c r="B1852" s="73" t="s">
        <v>327</v>
      </c>
    </row>
    <row r="1853" spans="2:2">
      <c r="B1853" s="73" t="s">
        <v>327</v>
      </c>
    </row>
    <row r="1854" spans="2:2">
      <c r="B1854" s="73" t="s">
        <v>327</v>
      </c>
    </row>
    <row r="1855" spans="2:2">
      <c r="B1855" s="73" t="s">
        <v>327</v>
      </c>
    </row>
    <row r="1856" spans="2:2">
      <c r="B1856" s="73" t="s">
        <v>327</v>
      </c>
    </row>
    <row r="1857" spans="2:2">
      <c r="B1857" s="73" t="s">
        <v>327</v>
      </c>
    </row>
    <row r="1858" spans="2:2">
      <c r="B1858" s="73" t="s">
        <v>327</v>
      </c>
    </row>
    <row r="1859" spans="2:2">
      <c r="B1859" s="73" t="s">
        <v>327</v>
      </c>
    </row>
    <row r="1860" spans="2:2">
      <c r="B1860" s="73" t="s">
        <v>327</v>
      </c>
    </row>
    <row r="1861" spans="2:2">
      <c r="B1861" s="73" t="s">
        <v>327</v>
      </c>
    </row>
    <row r="1862" spans="2:2">
      <c r="B1862" s="73" t="s">
        <v>327</v>
      </c>
    </row>
    <row r="1863" spans="2:2">
      <c r="B1863" s="73" t="s">
        <v>327</v>
      </c>
    </row>
    <row r="1864" spans="2:2">
      <c r="B1864" s="73" t="s">
        <v>327</v>
      </c>
    </row>
    <row r="1865" spans="2:2">
      <c r="B1865" s="73" t="s">
        <v>327</v>
      </c>
    </row>
    <row r="1866" spans="2:2">
      <c r="B1866" s="73" t="s">
        <v>327</v>
      </c>
    </row>
    <row r="1867" spans="2:2">
      <c r="B1867" s="73" t="s">
        <v>327</v>
      </c>
    </row>
    <row r="1868" spans="2:2">
      <c r="B1868" s="73" t="s">
        <v>327</v>
      </c>
    </row>
    <row r="1869" spans="2:2">
      <c r="B1869" s="73" t="s">
        <v>327</v>
      </c>
    </row>
    <row r="1870" spans="2:2">
      <c r="B1870" s="73" t="s">
        <v>327</v>
      </c>
    </row>
    <row r="1871" spans="2:2">
      <c r="B1871" s="73" t="s">
        <v>327</v>
      </c>
    </row>
    <row r="1872" spans="2:2">
      <c r="B1872" s="73" t="s">
        <v>327</v>
      </c>
    </row>
    <row r="1873" spans="2:2">
      <c r="B1873" s="73" t="s">
        <v>327</v>
      </c>
    </row>
    <row r="1874" spans="2:2">
      <c r="B1874" s="73" t="s">
        <v>327</v>
      </c>
    </row>
    <row r="1875" spans="2:2">
      <c r="B1875" s="73" t="s">
        <v>327</v>
      </c>
    </row>
    <row r="1876" spans="2:2">
      <c r="B1876" s="73" t="s">
        <v>327</v>
      </c>
    </row>
    <row r="1877" spans="2:2">
      <c r="B1877" s="73" t="s">
        <v>327</v>
      </c>
    </row>
    <row r="1878" spans="2:2">
      <c r="B1878" s="73" t="s">
        <v>327</v>
      </c>
    </row>
    <row r="1879" spans="2:2">
      <c r="B1879" s="73" t="s">
        <v>327</v>
      </c>
    </row>
    <row r="1880" spans="2:2">
      <c r="B1880" s="73" t="s">
        <v>327</v>
      </c>
    </row>
    <row r="1881" spans="2:2">
      <c r="B1881" s="73" t="s">
        <v>327</v>
      </c>
    </row>
    <row r="1882" spans="2:2">
      <c r="B1882" s="73" t="s">
        <v>327</v>
      </c>
    </row>
    <row r="1883" spans="2:2">
      <c r="B1883" s="73" t="s">
        <v>327</v>
      </c>
    </row>
    <row r="1884" spans="2:2">
      <c r="B1884" s="73" t="s">
        <v>327</v>
      </c>
    </row>
    <row r="1885" spans="2:2">
      <c r="B1885" s="73" t="s">
        <v>327</v>
      </c>
    </row>
    <row r="1886" spans="2:2">
      <c r="B1886" s="73" t="s">
        <v>327</v>
      </c>
    </row>
    <row r="1887" spans="2:2">
      <c r="B1887" s="73" t="s">
        <v>327</v>
      </c>
    </row>
    <row r="1888" spans="2:2">
      <c r="B1888" s="73" t="s">
        <v>327</v>
      </c>
    </row>
    <row r="1889" spans="2:2">
      <c r="B1889" s="73" t="s">
        <v>327</v>
      </c>
    </row>
    <row r="1890" spans="2:2">
      <c r="B1890" s="73" t="s">
        <v>327</v>
      </c>
    </row>
    <row r="1891" spans="2:2">
      <c r="B1891" s="73" t="s">
        <v>327</v>
      </c>
    </row>
    <row r="1892" spans="2:2">
      <c r="B1892" s="73" t="s">
        <v>327</v>
      </c>
    </row>
    <row r="1893" spans="2:2">
      <c r="B1893" s="73" t="s">
        <v>327</v>
      </c>
    </row>
    <row r="1894" spans="2:2">
      <c r="B1894" s="73" t="s">
        <v>327</v>
      </c>
    </row>
    <row r="1895" spans="2:2">
      <c r="B1895" s="73" t="s">
        <v>327</v>
      </c>
    </row>
    <row r="1896" spans="2:2">
      <c r="B1896" s="73" t="s">
        <v>327</v>
      </c>
    </row>
    <row r="1897" spans="2:2">
      <c r="B1897" s="73" t="s">
        <v>327</v>
      </c>
    </row>
    <row r="1898" spans="2:2">
      <c r="B1898" s="73" t="s">
        <v>327</v>
      </c>
    </row>
    <row r="1899" spans="2:2">
      <c r="B1899" s="73" t="s">
        <v>327</v>
      </c>
    </row>
    <row r="1900" spans="2:2">
      <c r="B1900" s="73" t="s">
        <v>327</v>
      </c>
    </row>
    <row r="1901" spans="2:2">
      <c r="B1901" s="73" t="s">
        <v>327</v>
      </c>
    </row>
    <row r="1902" spans="2:2">
      <c r="B1902" s="73" t="s">
        <v>327</v>
      </c>
    </row>
    <row r="1903" spans="2:2">
      <c r="B1903" s="73" t="s">
        <v>327</v>
      </c>
    </row>
    <row r="1904" spans="2:2">
      <c r="B1904" s="73" t="s">
        <v>327</v>
      </c>
    </row>
    <row r="1905" spans="2:2">
      <c r="B1905" s="73" t="s">
        <v>327</v>
      </c>
    </row>
    <row r="1906" spans="2:2">
      <c r="B1906" s="73" t="s">
        <v>327</v>
      </c>
    </row>
    <row r="1907" spans="2:2">
      <c r="B1907" s="73" t="s">
        <v>327</v>
      </c>
    </row>
    <row r="1908" spans="2:2">
      <c r="B1908" s="73" t="s">
        <v>327</v>
      </c>
    </row>
    <row r="1909" spans="2:2">
      <c r="B1909" s="73" t="s">
        <v>327</v>
      </c>
    </row>
    <row r="1910" spans="2:2">
      <c r="B1910" s="73" t="s">
        <v>327</v>
      </c>
    </row>
    <row r="1911" spans="2:2">
      <c r="B1911" s="73" t="s">
        <v>327</v>
      </c>
    </row>
    <row r="1912" spans="2:2">
      <c r="B1912" s="73" t="s">
        <v>327</v>
      </c>
    </row>
    <row r="1913" spans="2:2">
      <c r="B1913" s="73" t="s">
        <v>327</v>
      </c>
    </row>
    <row r="1914" spans="2:2">
      <c r="B1914" s="73" t="s">
        <v>327</v>
      </c>
    </row>
    <row r="1915" spans="2:2">
      <c r="B1915" s="73" t="s">
        <v>327</v>
      </c>
    </row>
    <row r="1916" spans="2:2">
      <c r="B1916" s="73" t="s">
        <v>327</v>
      </c>
    </row>
    <row r="1917" spans="2:2">
      <c r="B1917" s="73" t="s">
        <v>327</v>
      </c>
    </row>
    <row r="1918" spans="2:2">
      <c r="B1918" s="73" t="s">
        <v>327</v>
      </c>
    </row>
    <row r="1919" spans="2:2">
      <c r="B1919" s="73" t="s">
        <v>327</v>
      </c>
    </row>
    <row r="1920" spans="2:2">
      <c r="B1920" s="73" t="s">
        <v>327</v>
      </c>
    </row>
    <row r="1921" spans="2:2">
      <c r="B1921" s="73" t="s">
        <v>327</v>
      </c>
    </row>
    <row r="1922" spans="2:2">
      <c r="B1922" s="73" t="s">
        <v>327</v>
      </c>
    </row>
    <row r="1923" spans="2:2">
      <c r="B1923" s="73" t="s">
        <v>327</v>
      </c>
    </row>
    <row r="1924" spans="2:2">
      <c r="B1924" s="73" t="s">
        <v>327</v>
      </c>
    </row>
    <row r="1925" spans="2:2">
      <c r="B1925" s="73" t="s">
        <v>327</v>
      </c>
    </row>
    <row r="1926" spans="2:2">
      <c r="B1926" s="73" t="s">
        <v>327</v>
      </c>
    </row>
    <row r="1927" spans="2:2">
      <c r="B1927" s="73" t="s">
        <v>327</v>
      </c>
    </row>
    <row r="1928" spans="2:2">
      <c r="B1928" s="73" t="s">
        <v>327</v>
      </c>
    </row>
    <row r="1929" spans="2:2">
      <c r="B1929" s="73" t="s">
        <v>327</v>
      </c>
    </row>
    <row r="1930" spans="2:2">
      <c r="B1930" s="73" t="s">
        <v>327</v>
      </c>
    </row>
    <row r="1931" spans="2:2">
      <c r="B1931" s="73" t="s">
        <v>327</v>
      </c>
    </row>
    <row r="1932" spans="2:2">
      <c r="B1932" s="73" t="s">
        <v>327</v>
      </c>
    </row>
    <row r="1933" spans="2:2">
      <c r="B1933" s="73" t="s">
        <v>327</v>
      </c>
    </row>
    <row r="1934" spans="2:2">
      <c r="B1934" s="73" t="s">
        <v>327</v>
      </c>
    </row>
    <row r="1935" spans="2:2">
      <c r="B1935" s="73" t="s">
        <v>327</v>
      </c>
    </row>
    <row r="1936" spans="2:2">
      <c r="B1936" s="73" t="s">
        <v>327</v>
      </c>
    </row>
    <row r="1937" spans="2:2">
      <c r="B1937" s="73" t="s">
        <v>327</v>
      </c>
    </row>
    <row r="1938" spans="2:2">
      <c r="B1938" s="73" t="s">
        <v>327</v>
      </c>
    </row>
    <row r="1939" spans="2:2">
      <c r="B1939" s="73" t="s">
        <v>327</v>
      </c>
    </row>
    <row r="1940" spans="2:2">
      <c r="B1940" s="73" t="s">
        <v>327</v>
      </c>
    </row>
    <row r="1941" spans="2:2">
      <c r="B1941" s="73" t="s">
        <v>327</v>
      </c>
    </row>
    <row r="1942" spans="2:2">
      <c r="B1942" s="73" t="s">
        <v>327</v>
      </c>
    </row>
    <row r="1943" spans="2:2">
      <c r="B1943" s="73" t="s">
        <v>327</v>
      </c>
    </row>
    <row r="1944" spans="2:2">
      <c r="B1944" s="73" t="s">
        <v>327</v>
      </c>
    </row>
    <row r="1945" spans="2:2">
      <c r="B1945" s="73" t="s">
        <v>327</v>
      </c>
    </row>
    <row r="1946" spans="2:2">
      <c r="B1946" s="73" t="s">
        <v>327</v>
      </c>
    </row>
    <row r="1947" spans="2:2">
      <c r="B1947" s="73" t="s">
        <v>327</v>
      </c>
    </row>
    <row r="1948" spans="2:2">
      <c r="B1948" s="73" t="s">
        <v>327</v>
      </c>
    </row>
    <row r="1949" spans="2:2">
      <c r="B1949" s="73" t="s">
        <v>327</v>
      </c>
    </row>
    <row r="1950" spans="2:2">
      <c r="B1950" s="73" t="s">
        <v>327</v>
      </c>
    </row>
    <row r="1951" spans="2:2">
      <c r="B1951" s="73" t="s">
        <v>327</v>
      </c>
    </row>
    <row r="1952" spans="2:2">
      <c r="B1952" s="73" t="s">
        <v>327</v>
      </c>
    </row>
    <row r="1953" spans="2:2">
      <c r="B1953" s="73" t="s">
        <v>327</v>
      </c>
    </row>
    <row r="1954" spans="2:2">
      <c r="B1954" s="73" t="s">
        <v>327</v>
      </c>
    </row>
    <row r="1955" spans="2:2">
      <c r="B1955" s="73" t="s">
        <v>327</v>
      </c>
    </row>
    <row r="1956" spans="2:2">
      <c r="B1956" s="73" t="s">
        <v>327</v>
      </c>
    </row>
    <row r="1957" spans="2:2">
      <c r="B1957" s="73" t="s">
        <v>327</v>
      </c>
    </row>
    <row r="1958" spans="2:2">
      <c r="B1958" s="73" t="s">
        <v>327</v>
      </c>
    </row>
    <row r="1959" spans="2:2">
      <c r="B1959" s="73" t="s">
        <v>327</v>
      </c>
    </row>
    <row r="1960" spans="2:2">
      <c r="B1960" s="73" t="s">
        <v>327</v>
      </c>
    </row>
    <row r="1961" spans="2:2">
      <c r="B1961" s="73" t="s">
        <v>327</v>
      </c>
    </row>
    <row r="1962" spans="2:2">
      <c r="B1962" s="73" t="s">
        <v>327</v>
      </c>
    </row>
    <row r="1963" spans="2:2">
      <c r="B1963" s="73" t="s">
        <v>327</v>
      </c>
    </row>
    <row r="1964" spans="2:2">
      <c r="B1964" s="73" t="s">
        <v>327</v>
      </c>
    </row>
    <row r="1965" spans="2:2">
      <c r="B1965" s="73" t="s">
        <v>327</v>
      </c>
    </row>
    <row r="1966" spans="2:2">
      <c r="B1966" s="73" t="s">
        <v>327</v>
      </c>
    </row>
    <row r="1967" spans="2:2">
      <c r="B1967" s="73" t="s">
        <v>327</v>
      </c>
    </row>
    <row r="1968" spans="2:2">
      <c r="B1968" s="73" t="s">
        <v>327</v>
      </c>
    </row>
    <row r="1969" spans="2:2">
      <c r="B1969" s="73" t="s">
        <v>327</v>
      </c>
    </row>
    <row r="1970" spans="2:2">
      <c r="B1970" s="73" t="s">
        <v>327</v>
      </c>
    </row>
    <row r="1971" spans="2:2">
      <c r="B1971" s="73" t="s">
        <v>327</v>
      </c>
    </row>
    <row r="1972" spans="2:2">
      <c r="B1972" s="73" t="s">
        <v>327</v>
      </c>
    </row>
    <row r="1973" spans="2:2">
      <c r="B1973" s="73" t="s">
        <v>327</v>
      </c>
    </row>
    <row r="1974" spans="2:2">
      <c r="B1974" s="73" t="s">
        <v>327</v>
      </c>
    </row>
    <row r="1975" spans="2:2">
      <c r="B1975" s="73" t="s">
        <v>327</v>
      </c>
    </row>
    <row r="1976" spans="2:2">
      <c r="B1976" s="73" t="s">
        <v>327</v>
      </c>
    </row>
    <row r="1977" spans="2:2">
      <c r="B1977" s="73" t="s">
        <v>327</v>
      </c>
    </row>
    <row r="1978" spans="2:2">
      <c r="B1978" s="73" t="s">
        <v>327</v>
      </c>
    </row>
    <row r="1979" spans="2:2">
      <c r="B1979" s="73" t="s">
        <v>327</v>
      </c>
    </row>
    <row r="1980" spans="2:2">
      <c r="B1980" s="73" t="s">
        <v>327</v>
      </c>
    </row>
    <row r="1981" spans="2:2">
      <c r="B1981" s="73" t="s">
        <v>327</v>
      </c>
    </row>
    <row r="1982" spans="2:2">
      <c r="B1982" s="73" t="s">
        <v>327</v>
      </c>
    </row>
    <row r="1983" spans="2:2">
      <c r="B1983" s="73" t="s">
        <v>327</v>
      </c>
    </row>
    <row r="1984" spans="2:2">
      <c r="B1984" s="73" t="s">
        <v>327</v>
      </c>
    </row>
    <row r="1985" spans="2:2">
      <c r="B1985" s="73" t="s">
        <v>327</v>
      </c>
    </row>
    <row r="1986" spans="2:2">
      <c r="B1986" s="73" t="s">
        <v>327</v>
      </c>
    </row>
    <row r="1987" spans="2:2">
      <c r="B1987" s="73" t="s">
        <v>327</v>
      </c>
    </row>
    <row r="1988" spans="2:2">
      <c r="B1988" s="73" t="s">
        <v>327</v>
      </c>
    </row>
    <row r="1989" spans="2:2">
      <c r="B1989" s="73" t="s">
        <v>327</v>
      </c>
    </row>
    <row r="1990" spans="2:2">
      <c r="B1990" s="73" t="s">
        <v>327</v>
      </c>
    </row>
    <row r="1991" spans="2:2">
      <c r="B1991" s="73" t="s">
        <v>327</v>
      </c>
    </row>
    <row r="1992" spans="2:2">
      <c r="B1992" s="73" t="s">
        <v>327</v>
      </c>
    </row>
    <row r="1993" spans="2:2">
      <c r="B1993" s="73" t="s">
        <v>327</v>
      </c>
    </row>
    <row r="1994" spans="2:2">
      <c r="B1994" s="73" t="s">
        <v>327</v>
      </c>
    </row>
    <row r="1995" spans="2:2">
      <c r="B1995" s="73" t="s">
        <v>327</v>
      </c>
    </row>
    <row r="1996" spans="2:2">
      <c r="B1996" s="73" t="s">
        <v>327</v>
      </c>
    </row>
    <row r="1997" spans="2:2">
      <c r="B1997" s="73" t="s">
        <v>327</v>
      </c>
    </row>
    <row r="1998" spans="2:2">
      <c r="B1998" s="73" t="s">
        <v>327</v>
      </c>
    </row>
    <row r="1999" spans="2:2">
      <c r="B1999" s="73" t="s">
        <v>327</v>
      </c>
    </row>
    <row r="2000" spans="2:2">
      <c r="B2000" s="73" t="s">
        <v>327</v>
      </c>
    </row>
    <row r="2001" spans="2:2">
      <c r="B2001" s="73" t="s">
        <v>327</v>
      </c>
    </row>
    <row r="2002" spans="2:2">
      <c r="B2002" s="73" t="s">
        <v>327</v>
      </c>
    </row>
    <row r="2003" spans="2:2">
      <c r="B2003" s="73" t="s">
        <v>327</v>
      </c>
    </row>
    <row r="2004" spans="2:2">
      <c r="B2004" s="73" t="s">
        <v>327</v>
      </c>
    </row>
    <row r="2005" spans="2:2">
      <c r="B2005" s="73" t="s">
        <v>327</v>
      </c>
    </row>
    <row r="2006" spans="2:2">
      <c r="B2006" s="73" t="s">
        <v>327</v>
      </c>
    </row>
    <row r="2007" spans="2:2">
      <c r="B2007" s="73" t="s">
        <v>327</v>
      </c>
    </row>
    <row r="2008" spans="2:2">
      <c r="B2008" s="73" t="s">
        <v>327</v>
      </c>
    </row>
    <row r="2009" spans="2:2">
      <c r="B2009" s="73" t="s">
        <v>327</v>
      </c>
    </row>
    <row r="2010" spans="2:2">
      <c r="B2010" s="73" t="s">
        <v>327</v>
      </c>
    </row>
    <row r="2011" spans="2:2">
      <c r="B2011" s="73" t="s">
        <v>327</v>
      </c>
    </row>
    <row r="2012" spans="2:2">
      <c r="B2012" s="73" t="s">
        <v>327</v>
      </c>
    </row>
    <row r="2013" spans="2:2">
      <c r="B2013" s="73" t="s">
        <v>327</v>
      </c>
    </row>
    <row r="2014" spans="2:2">
      <c r="B2014" s="73" t="s">
        <v>327</v>
      </c>
    </row>
    <row r="2015" spans="2:2">
      <c r="B2015" s="73" t="s">
        <v>327</v>
      </c>
    </row>
    <row r="2016" spans="2:2">
      <c r="B2016" s="73" t="s">
        <v>327</v>
      </c>
    </row>
    <row r="2017" spans="2:2">
      <c r="B2017" s="73" t="s">
        <v>327</v>
      </c>
    </row>
    <row r="2018" spans="2:2">
      <c r="B2018" s="73" t="s">
        <v>327</v>
      </c>
    </row>
    <row r="2019" spans="2:2">
      <c r="B2019" s="73" t="s">
        <v>327</v>
      </c>
    </row>
    <row r="2020" spans="2:2">
      <c r="B2020" s="73" t="s">
        <v>327</v>
      </c>
    </row>
    <row r="2021" spans="2:2">
      <c r="B2021" s="73" t="s">
        <v>327</v>
      </c>
    </row>
    <row r="2022" spans="2:2">
      <c r="B2022" s="73" t="s">
        <v>327</v>
      </c>
    </row>
    <row r="2023" spans="2:2">
      <c r="B2023" s="73" t="s">
        <v>327</v>
      </c>
    </row>
    <row r="2024" spans="2:2">
      <c r="B2024" s="73" t="s">
        <v>327</v>
      </c>
    </row>
    <row r="2025" spans="2:2">
      <c r="B2025" s="73" t="s">
        <v>327</v>
      </c>
    </row>
    <row r="2026" spans="2:2">
      <c r="B2026" s="73" t="s">
        <v>327</v>
      </c>
    </row>
    <row r="2027" spans="2:2">
      <c r="B2027" s="73" t="s">
        <v>327</v>
      </c>
    </row>
    <row r="2028" spans="2:2">
      <c r="B2028" s="73" t="s">
        <v>327</v>
      </c>
    </row>
    <row r="2029" spans="2:2">
      <c r="B2029" s="73" t="s">
        <v>327</v>
      </c>
    </row>
    <row r="2030" spans="2:2">
      <c r="B2030" s="73" t="s">
        <v>327</v>
      </c>
    </row>
    <row r="2031" spans="2:2">
      <c r="B2031" s="73" t="s">
        <v>327</v>
      </c>
    </row>
    <row r="2032" spans="2:2">
      <c r="B2032" s="73" t="s">
        <v>327</v>
      </c>
    </row>
    <row r="2033" spans="2:2">
      <c r="B2033" s="73" t="s">
        <v>327</v>
      </c>
    </row>
    <row r="2034" spans="2:2">
      <c r="B2034" s="73" t="s">
        <v>327</v>
      </c>
    </row>
    <row r="2035" spans="2:2">
      <c r="B2035" s="73" t="s">
        <v>327</v>
      </c>
    </row>
    <row r="2036" spans="2:2">
      <c r="B2036" s="73" t="s">
        <v>327</v>
      </c>
    </row>
    <row r="2037" spans="2:2">
      <c r="B2037" s="73" t="s">
        <v>327</v>
      </c>
    </row>
    <row r="2038" spans="2:2">
      <c r="B2038" s="73" t="s">
        <v>327</v>
      </c>
    </row>
    <row r="2039" spans="2:2">
      <c r="B2039" s="73" t="s">
        <v>327</v>
      </c>
    </row>
    <row r="2040" spans="2:2">
      <c r="B2040" s="73" t="s">
        <v>327</v>
      </c>
    </row>
    <row r="2041" spans="2:2">
      <c r="B2041" s="73" t="s">
        <v>327</v>
      </c>
    </row>
    <row r="2042" spans="2:2">
      <c r="B2042" s="73" t="s">
        <v>327</v>
      </c>
    </row>
    <row r="2043" spans="2:2">
      <c r="B2043" s="73" t="s">
        <v>327</v>
      </c>
    </row>
    <row r="2044" spans="2:2">
      <c r="B2044" s="73" t="s">
        <v>327</v>
      </c>
    </row>
    <row r="2045" spans="2:2">
      <c r="B2045" s="73" t="s">
        <v>327</v>
      </c>
    </row>
    <row r="2046" spans="2:2">
      <c r="B2046" s="73" t="s">
        <v>327</v>
      </c>
    </row>
    <row r="2047" spans="2:2">
      <c r="B2047" s="73" t="s">
        <v>327</v>
      </c>
    </row>
    <row r="2048" spans="2:2">
      <c r="B2048" s="73" t="s">
        <v>327</v>
      </c>
    </row>
    <row r="2049" spans="2:2">
      <c r="B2049" s="73" t="s">
        <v>327</v>
      </c>
    </row>
    <row r="2050" spans="2:2">
      <c r="B2050" s="73" t="s">
        <v>327</v>
      </c>
    </row>
    <row r="2051" spans="2:2">
      <c r="B2051" s="73" t="s">
        <v>327</v>
      </c>
    </row>
    <row r="2052" spans="2:2">
      <c r="B2052" s="73" t="s">
        <v>327</v>
      </c>
    </row>
    <row r="2053" spans="2:2">
      <c r="B2053" s="73" t="s">
        <v>327</v>
      </c>
    </row>
    <row r="2054" spans="2:2">
      <c r="B2054" s="73" t="s">
        <v>327</v>
      </c>
    </row>
    <row r="2055" spans="2:2">
      <c r="B2055" s="73" t="s">
        <v>327</v>
      </c>
    </row>
    <row r="2056" spans="2:2">
      <c r="B2056" s="73" t="s">
        <v>327</v>
      </c>
    </row>
    <row r="2057" spans="2:2">
      <c r="B2057" s="73" t="s">
        <v>327</v>
      </c>
    </row>
    <row r="2058" spans="2:2">
      <c r="B2058" s="73" t="s">
        <v>327</v>
      </c>
    </row>
    <row r="2059" spans="2:2">
      <c r="B2059" s="73" t="s">
        <v>327</v>
      </c>
    </row>
    <row r="2060" spans="2:2">
      <c r="B2060" s="73" t="s">
        <v>327</v>
      </c>
    </row>
    <row r="2061" spans="2:2">
      <c r="B2061" s="73" t="s">
        <v>327</v>
      </c>
    </row>
    <row r="2062" spans="2:2">
      <c r="B2062" s="73" t="s">
        <v>327</v>
      </c>
    </row>
    <row r="2063" spans="2:2">
      <c r="B2063" s="73" t="s">
        <v>327</v>
      </c>
    </row>
    <row r="2064" spans="2:2">
      <c r="B2064" s="73" t="s">
        <v>327</v>
      </c>
    </row>
    <row r="2065" spans="2:2">
      <c r="B2065" s="73" t="s">
        <v>327</v>
      </c>
    </row>
    <row r="2066" spans="2:2">
      <c r="B2066" s="73" t="s">
        <v>327</v>
      </c>
    </row>
    <row r="2067" spans="2:2">
      <c r="B2067" s="73" t="s">
        <v>327</v>
      </c>
    </row>
    <row r="2068" spans="2:2">
      <c r="B2068" s="73" t="s">
        <v>327</v>
      </c>
    </row>
    <row r="2069" spans="2:2">
      <c r="B2069" s="73" t="s">
        <v>327</v>
      </c>
    </row>
    <row r="2070" spans="2:2">
      <c r="B2070" s="73" t="s">
        <v>327</v>
      </c>
    </row>
    <row r="2071" spans="2:2">
      <c r="B2071" s="73" t="s">
        <v>327</v>
      </c>
    </row>
    <row r="2072" spans="2:2">
      <c r="B2072" s="73" t="s">
        <v>327</v>
      </c>
    </row>
    <row r="2073" spans="2:2">
      <c r="B2073" s="73" t="s">
        <v>327</v>
      </c>
    </row>
    <row r="2074" spans="2:2">
      <c r="B2074" s="73" t="s">
        <v>327</v>
      </c>
    </row>
    <row r="2075" spans="2:2">
      <c r="B2075" s="73" t="s">
        <v>327</v>
      </c>
    </row>
    <row r="2076" spans="2:2">
      <c r="B2076" s="73" t="s">
        <v>327</v>
      </c>
    </row>
    <row r="2077" spans="2:2">
      <c r="B2077" s="73" t="s">
        <v>327</v>
      </c>
    </row>
    <row r="2078" spans="2:2">
      <c r="B2078" s="73" t="s">
        <v>327</v>
      </c>
    </row>
    <row r="2079" spans="2:2">
      <c r="B2079" s="73" t="s">
        <v>327</v>
      </c>
    </row>
    <row r="2080" spans="2:2">
      <c r="B2080" s="73" t="s">
        <v>327</v>
      </c>
    </row>
    <row r="2081" spans="2:2">
      <c r="B2081" s="73" t="s">
        <v>327</v>
      </c>
    </row>
    <row r="2082" spans="2:2">
      <c r="B2082" s="73" t="s">
        <v>327</v>
      </c>
    </row>
    <row r="2083" spans="2:2">
      <c r="B2083" s="73" t="s">
        <v>327</v>
      </c>
    </row>
    <row r="2084" spans="2:2">
      <c r="B2084" s="73" t="s">
        <v>327</v>
      </c>
    </row>
    <row r="2085" spans="2:2">
      <c r="B2085" s="73" t="s">
        <v>327</v>
      </c>
    </row>
    <row r="2086" spans="2:2">
      <c r="B2086" s="73" t="s">
        <v>327</v>
      </c>
    </row>
    <row r="2087" spans="2:2">
      <c r="B2087" s="73" t="s">
        <v>327</v>
      </c>
    </row>
    <row r="2088" spans="2:2">
      <c r="B2088" s="73" t="s">
        <v>327</v>
      </c>
    </row>
    <row r="2089" spans="2:2">
      <c r="B2089" s="73" t="s">
        <v>327</v>
      </c>
    </row>
    <row r="2090" spans="2:2">
      <c r="B2090" s="73" t="s">
        <v>327</v>
      </c>
    </row>
    <row r="2091" spans="2:2">
      <c r="B2091" s="73" t="s">
        <v>327</v>
      </c>
    </row>
    <row r="2092" spans="2:2">
      <c r="B2092" s="73" t="s">
        <v>327</v>
      </c>
    </row>
    <row r="2093" spans="2:2">
      <c r="B2093" s="73" t="s">
        <v>327</v>
      </c>
    </row>
    <row r="2094" spans="2:2">
      <c r="B2094" s="73" t="s">
        <v>327</v>
      </c>
    </row>
    <row r="2095" spans="2:2">
      <c r="B2095" s="73" t="s">
        <v>327</v>
      </c>
    </row>
    <row r="2096" spans="2:2">
      <c r="B2096" s="73" t="s">
        <v>327</v>
      </c>
    </row>
    <row r="2097" spans="2:2">
      <c r="B2097" s="73" t="s">
        <v>327</v>
      </c>
    </row>
    <row r="2098" spans="2:2">
      <c r="B2098" s="73" t="s">
        <v>327</v>
      </c>
    </row>
    <row r="2099" spans="2:2">
      <c r="B2099" s="73" t="s">
        <v>327</v>
      </c>
    </row>
    <row r="2100" spans="2:2">
      <c r="B2100" s="73" t="s">
        <v>327</v>
      </c>
    </row>
    <row r="2101" spans="2:2">
      <c r="B2101" s="73" t="s">
        <v>327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R1971"/>
  <sheetViews>
    <sheetView topLeftCell="F1" workbookViewId="0">
      <selection activeCell="J5" sqref="J5"/>
    </sheetView>
  </sheetViews>
  <sheetFormatPr defaultRowHeight="12.75"/>
  <cols>
    <col min="1" max="1" width="10.42578125" customWidth="1"/>
    <col min="2" max="2" width="15" customWidth="1"/>
    <col min="4" max="6" width="9.140625" style="70"/>
    <col min="7" max="10" width="10.28515625" customWidth="1"/>
    <col min="11" max="11" width="12.28515625" customWidth="1"/>
    <col min="12" max="12" width="20.5703125" customWidth="1"/>
    <col min="13" max="13" width="13.5703125" customWidth="1"/>
    <col min="14" max="14" width="12.5703125" customWidth="1"/>
    <col min="15" max="15" width="26.5703125" customWidth="1"/>
  </cols>
  <sheetData>
    <row r="1" spans="1:18" ht="16.5" thickBot="1">
      <c r="K1" s="290" t="s">
        <v>119</v>
      </c>
      <c r="L1" s="291"/>
      <c r="M1" s="291"/>
      <c r="N1" s="291"/>
      <c r="O1" s="291"/>
      <c r="P1" s="291"/>
      <c r="Q1" s="291"/>
      <c r="R1" s="291"/>
    </row>
    <row r="2" spans="1:18" s="47" customFormat="1" ht="64.5" thickBot="1">
      <c r="A2" s="46" t="s">
        <v>112</v>
      </c>
      <c r="B2" s="46" t="s">
        <v>284</v>
      </c>
      <c r="C2" s="46" t="s">
        <v>113</v>
      </c>
      <c r="D2" s="46" t="s">
        <v>306</v>
      </c>
      <c r="E2" s="46" t="s">
        <v>307</v>
      </c>
      <c r="F2" s="46" t="s">
        <v>308</v>
      </c>
      <c r="G2" s="46" t="s">
        <v>309</v>
      </c>
      <c r="H2" s="46" t="s">
        <v>320</v>
      </c>
      <c r="I2" s="46" t="s">
        <v>321</v>
      </c>
      <c r="J2" s="46" t="s">
        <v>322</v>
      </c>
      <c r="K2" s="46" t="s">
        <v>323</v>
      </c>
      <c r="L2" s="46" t="s">
        <v>114</v>
      </c>
      <c r="M2" s="46" t="s">
        <v>115</v>
      </c>
      <c r="N2" s="46" t="s">
        <v>116</v>
      </c>
      <c r="O2" s="46" t="s">
        <v>117</v>
      </c>
      <c r="P2" s="46" t="s">
        <v>43</v>
      </c>
      <c r="Q2" s="46" t="s">
        <v>118</v>
      </c>
      <c r="R2" s="46" t="s">
        <v>362</v>
      </c>
    </row>
    <row r="3" spans="1:18">
      <c r="A3" s="71" t="s">
        <v>404</v>
      </c>
      <c r="B3" s="71" t="s">
        <v>394</v>
      </c>
      <c r="C3" s="71" t="s">
        <v>285</v>
      </c>
      <c r="D3" s="71"/>
      <c r="E3" s="71"/>
      <c r="F3" s="71" t="s">
        <v>405</v>
      </c>
      <c r="G3" s="71" t="s">
        <v>406</v>
      </c>
      <c r="H3" s="82">
        <v>3</v>
      </c>
      <c r="I3" s="71" t="s">
        <v>407</v>
      </c>
      <c r="J3" s="83">
        <v>1</v>
      </c>
      <c r="K3" s="71" t="s">
        <v>408</v>
      </c>
      <c r="L3" s="71">
        <v>0</v>
      </c>
      <c r="M3" s="71">
        <v>0</v>
      </c>
      <c r="N3" s="71">
        <v>23858</v>
      </c>
      <c r="O3" s="71" t="s">
        <v>285</v>
      </c>
      <c r="P3" s="71"/>
      <c r="Q3" s="71" t="s">
        <v>329</v>
      </c>
      <c r="R3" s="71">
        <v>2.7029999999999998</v>
      </c>
    </row>
    <row r="4" spans="1:18">
      <c r="A4" s="71" t="s">
        <v>285</v>
      </c>
      <c r="B4" s="71" t="s">
        <v>285</v>
      </c>
      <c r="C4" s="71" t="s">
        <v>285</v>
      </c>
      <c r="D4" s="71"/>
      <c r="E4" s="71"/>
      <c r="F4" s="71" t="s">
        <v>405</v>
      </c>
      <c r="G4" s="71" t="s">
        <v>406</v>
      </c>
      <c r="H4" s="83">
        <v>3</v>
      </c>
      <c r="I4" s="71" t="s">
        <v>407</v>
      </c>
      <c r="J4" s="83">
        <v>1</v>
      </c>
      <c r="K4" s="71" t="s">
        <v>408</v>
      </c>
      <c r="L4" s="71">
        <v>0</v>
      </c>
      <c r="M4" s="71">
        <v>0</v>
      </c>
      <c r="N4" s="71">
        <v>0</v>
      </c>
      <c r="O4" s="71" t="s">
        <v>285</v>
      </c>
      <c r="P4" s="71" t="s">
        <v>285</v>
      </c>
      <c r="Q4" s="71" t="s">
        <v>329</v>
      </c>
      <c r="R4" s="71">
        <v>2.7029999999999998</v>
      </c>
    </row>
    <row r="5" spans="1:18">
      <c r="A5" s="71" t="s">
        <v>285</v>
      </c>
      <c r="B5" s="71" t="s">
        <v>285</v>
      </c>
      <c r="C5" s="71" t="s">
        <v>285</v>
      </c>
      <c r="D5" s="71"/>
      <c r="E5" s="71"/>
      <c r="F5" s="71"/>
      <c r="G5" s="71"/>
      <c r="H5" s="71"/>
      <c r="I5" s="71"/>
      <c r="J5" s="71"/>
      <c r="K5" s="71"/>
      <c r="L5" s="71" t="s">
        <v>285</v>
      </c>
      <c r="M5" s="71" t="s">
        <v>285</v>
      </c>
      <c r="N5" s="71" t="s">
        <v>285</v>
      </c>
      <c r="O5" s="71" t="s">
        <v>285</v>
      </c>
      <c r="P5" s="71" t="s">
        <v>285</v>
      </c>
      <c r="Q5" s="71" t="s">
        <v>285</v>
      </c>
      <c r="R5" s="71" t="s">
        <v>285</v>
      </c>
    </row>
    <row r="6" spans="1:18">
      <c r="A6" s="71" t="s">
        <v>285</v>
      </c>
      <c r="B6" s="71" t="s">
        <v>285</v>
      </c>
      <c r="C6" s="71" t="s">
        <v>285</v>
      </c>
      <c r="D6" s="71"/>
      <c r="E6" s="71"/>
      <c r="F6" s="71"/>
      <c r="G6" s="71"/>
      <c r="H6" s="71"/>
      <c r="I6" s="71"/>
      <c r="J6" s="71"/>
      <c r="K6" s="71"/>
      <c r="L6" s="71" t="s">
        <v>285</v>
      </c>
      <c r="M6" s="71" t="s">
        <v>285</v>
      </c>
      <c r="N6" s="71" t="s">
        <v>285</v>
      </c>
      <c r="O6" s="71" t="s">
        <v>285</v>
      </c>
      <c r="P6" s="71" t="s">
        <v>285</v>
      </c>
      <c r="Q6" s="71" t="s">
        <v>285</v>
      </c>
      <c r="R6" s="71" t="s">
        <v>285</v>
      </c>
    </row>
    <row r="7" spans="1:18">
      <c r="A7" s="71" t="s">
        <v>285</v>
      </c>
      <c r="B7" s="71" t="s">
        <v>285</v>
      </c>
      <c r="C7" s="71" t="s">
        <v>285</v>
      </c>
      <c r="D7" s="71"/>
      <c r="E7" s="71"/>
      <c r="F7" s="71"/>
      <c r="G7" s="71"/>
      <c r="H7" s="71"/>
      <c r="I7" s="71"/>
      <c r="J7" s="71"/>
      <c r="K7" s="71"/>
      <c r="L7" s="71" t="s">
        <v>285</v>
      </c>
      <c r="M7" s="71" t="s">
        <v>285</v>
      </c>
      <c r="N7" s="71" t="s">
        <v>285</v>
      </c>
      <c r="O7" s="71" t="s">
        <v>285</v>
      </c>
      <c r="P7" s="71" t="s">
        <v>285</v>
      </c>
      <c r="Q7" s="71" t="s">
        <v>285</v>
      </c>
      <c r="R7" s="71" t="s">
        <v>285</v>
      </c>
    </row>
    <row r="8" spans="1:18">
      <c r="A8" s="71" t="s">
        <v>285</v>
      </c>
      <c r="B8" s="71" t="s">
        <v>285</v>
      </c>
      <c r="C8" s="71" t="s">
        <v>285</v>
      </c>
      <c r="D8" s="71"/>
      <c r="E8" s="71"/>
      <c r="F8" s="71"/>
      <c r="G8" s="71"/>
      <c r="H8" s="71"/>
      <c r="I8" s="71"/>
      <c r="J8" s="71"/>
      <c r="K8" s="71"/>
      <c r="L8" s="71" t="s">
        <v>285</v>
      </c>
      <c r="M8" s="71" t="s">
        <v>285</v>
      </c>
      <c r="N8" s="71" t="s">
        <v>285</v>
      </c>
      <c r="O8" s="71" t="s">
        <v>285</v>
      </c>
      <c r="P8" s="71" t="s">
        <v>285</v>
      </c>
      <c r="Q8" s="71" t="s">
        <v>285</v>
      </c>
      <c r="R8" s="71" t="s">
        <v>285</v>
      </c>
    </row>
    <row r="9" spans="1:18">
      <c r="A9" s="71" t="s">
        <v>285</v>
      </c>
      <c r="B9" s="71" t="s">
        <v>285</v>
      </c>
      <c r="C9" s="71" t="s">
        <v>285</v>
      </c>
      <c r="D9" s="71"/>
      <c r="E9" s="71"/>
      <c r="F9" s="71"/>
      <c r="G9" s="71"/>
      <c r="H9" s="71"/>
      <c r="I9" s="71"/>
      <c r="J9" s="71"/>
      <c r="K9" s="71"/>
      <c r="L9" s="71" t="s">
        <v>285</v>
      </c>
      <c r="M9" s="71" t="s">
        <v>285</v>
      </c>
      <c r="N9" s="71" t="s">
        <v>285</v>
      </c>
      <c r="O9" s="71" t="s">
        <v>285</v>
      </c>
      <c r="P9" s="71" t="s">
        <v>285</v>
      </c>
      <c r="Q9" s="71" t="s">
        <v>285</v>
      </c>
      <c r="R9" s="71" t="s">
        <v>285</v>
      </c>
    </row>
    <row r="10" spans="1:18">
      <c r="A10" s="71" t="s">
        <v>285</v>
      </c>
      <c r="B10" s="71" t="s">
        <v>285</v>
      </c>
      <c r="C10" s="71" t="s">
        <v>285</v>
      </c>
      <c r="D10" s="71"/>
      <c r="E10" s="71"/>
      <c r="F10" s="71"/>
      <c r="G10" s="71"/>
      <c r="H10" s="71"/>
      <c r="I10" s="71"/>
      <c r="J10" s="71"/>
      <c r="K10" s="71"/>
      <c r="L10" s="71" t="s">
        <v>285</v>
      </c>
      <c r="M10" s="71" t="s">
        <v>285</v>
      </c>
      <c r="N10" s="71" t="s">
        <v>285</v>
      </c>
      <c r="O10" s="71" t="s">
        <v>285</v>
      </c>
      <c r="P10" s="71" t="s">
        <v>285</v>
      </c>
      <c r="Q10" s="71" t="s">
        <v>285</v>
      </c>
      <c r="R10" s="71" t="s">
        <v>285</v>
      </c>
    </row>
    <row r="11" spans="1:18">
      <c r="A11" s="71" t="s">
        <v>285</v>
      </c>
      <c r="B11" s="71" t="s">
        <v>285</v>
      </c>
      <c r="C11" s="71" t="s">
        <v>285</v>
      </c>
      <c r="D11" s="71"/>
      <c r="E11" s="71"/>
      <c r="F11" s="71"/>
      <c r="G11" s="71"/>
      <c r="H11" s="71"/>
      <c r="I11" s="71"/>
      <c r="J11" s="71"/>
      <c r="K11" s="71"/>
      <c r="L11" s="71" t="s">
        <v>285</v>
      </c>
      <c r="M11" s="71" t="s">
        <v>285</v>
      </c>
      <c r="N11" s="71" t="s">
        <v>285</v>
      </c>
      <c r="O11" s="71" t="s">
        <v>285</v>
      </c>
      <c r="P11" s="71" t="s">
        <v>285</v>
      </c>
      <c r="Q11" s="71" t="s">
        <v>285</v>
      </c>
      <c r="R11" s="71" t="s">
        <v>285</v>
      </c>
    </row>
    <row r="12" spans="1:18">
      <c r="A12" s="71" t="s">
        <v>285</v>
      </c>
      <c r="B12" s="71" t="s">
        <v>285</v>
      </c>
      <c r="C12" s="71" t="s">
        <v>285</v>
      </c>
      <c r="D12" s="71"/>
      <c r="E12" s="71"/>
      <c r="F12" s="71"/>
      <c r="G12" s="71"/>
      <c r="H12" s="71"/>
      <c r="I12" s="71"/>
      <c r="J12" s="71"/>
      <c r="K12" s="71"/>
      <c r="L12" s="71" t="s">
        <v>285</v>
      </c>
      <c r="M12" s="71" t="s">
        <v>285</v>
      </c>
      <c r="N12" s="71" t="s">
        <v>285</v>
      </c>
      <c r="O12" s="71" t="s">
        <v>285</v>
      </c>
      <c r="P12" s="71" t="s">
        <v>285</v>
      </c>
      <c r="Q12" s="71" t="s">
        <v>285</v>
      </c>
      <c r="R12" s="71" t="s">
        <v>285</v>
      </c>
    </row>
    <row r="13" spans="1:18">
      <c r="A13" s="71" t="s">
        <v>285</v>
      </c>
      <c r="B13" s="71" t="s">
        <v>285</v>
      </c>
      <c r="C13" s="71" t="s">
        <v>285</v>
      </c>
      <c r="D13" s="71"/>
      <c r="E13" s="71"/>
      <c r="F13" s="71"/>
      <c r="G13" s="71"/>
      <c r="H13" s="71"/>
      <c r="I13" s="71"/>
      <c r="J13" s="71"/>
      <c r="K13" s="71"/>
      <c r="L13" s="71" t="s">
        <v>285</v>
      </c>
      <c r="M13" s="71" t="s">
        <v>285</v>
      </c>
      <c r="N13" s="71" t="s">
        <v>285</v>
      </c>
      <c r="O13" s="71" t="s">
        <v>285</v>
      </c>
      <c r="P13" s="71" t="s">
        <v>285</v>
      </c>
      <c r="Q13" s="71" t="s">
        <v>285</v>
      </c>
      <c r="R13" s="71" t="s">
        <v>285</v>
      </c>
    </row>
    <row r="14" spans="1:18">
      <c r="A14" s="71" t="s">
        <v>285</v>
      </c>
      <c r="B14" s="71" t="s">
        <v>285</v>
      </c>
      <c r="C14" s="71" t="s">
        <v>285</v>
      </c>
      <c r="D14" s="71"/>
      <c r="E14" s="71"/>
      <c r="F14" s="71"/>
      <c r="G14" s="71"/>
      <c r="H14" s="71"/>
      <c r="I14" s="71"/>
      <c r="J14" s="71"/>
      <c r="K14" s="71"/>
      <c r="L14" s="71" t="s">
        <v>285</v>
      </c>
      <c r="M14" s="71" t="s">
        <v>285</v>
      </c>
      <c r="N14" s="71" t="s">
        <v>285</v>
      </c>
      <c r="O14" s="71" t="s">
        <v>285</v>
      </c>
      <c r="P14" s="71" t="s">
        <v>285</v>
      </c>
      <c r="Q14" s="71" t="s">
        <v>285</v>
      </c>
      <c r="R14" s="71" t="s">
        <v>285</v>
      </c>
    </row>
    <row r="15" spans="1:18">
      <c r="A15" s="71" t="s">
        <v>285</v>
      </c>
      <c r="B15" s="71" t="s">
        <v>285</v>
      </c>
      <c r="C15" s="71" t="s">
        <v>285</v>
      </c>
      <c r="D15" s="71"/>
      <c r="E15" s="71"/>
      <c r="F15" s="71"/>
      <c r="G15" s="71"/>
      <c r="H15" s="71"/>
      <c r="I15" s="71"/>
      <c r="J15" s="71"/>
      <c r="K15" s="71"/>
      <c r="L15" s="71" t="s">
        <v>285</v>
      </c>
      <c r="M15" s="71" t="s">
        <v>285</v>
      </c>
      <c r="N15" s="71" t="s">
        <v>285</v>
      </c>
      <c r="O15" s="71" t="s">
        <v>285</v>
      </c>
      <c r="P15" s="71" t="s">
        <v>285</v>
      </c>
      <c r="Q15" s="71" t="s">
        <v>285</v>
      </c>
      <c r="R15" s="71" t="s">
        <v>285</v>
      </c>
    </row>
    <row r="16" spans="1:18">
      <c r="A16" s="71" t="s">
        <v>285</v>
      </c>
      <c r="B16" s="71" t="s">
        <v>285</v>
      </c>
      <c r="C16" s="71" t="s">
        <v>285</v>
      </c>
      <c r="D16" s="71"/>
      <c r="E16" s="71"/>
      <c r="F16" s="71"/>
      <c r="G16" s="71"/>
      <c r="H16" s="71"/>
      <c r="I16" s="71"/>
      <c r="J16" s="71"/>
      <c r="K16" s="71"/>
      <c r="L16" s="71" t="s">
        <v>285</v>
      </c>
      <c r="M16" s="71" t="s">
        <v>285</v>
      </c>
      <c r="N16" s="71" t="s">
        <v>285</v>
      </c>
      <c r="O16" s="71" t="s">
        <v>285</v>
      </c>
      <c r="P16" s="71" t="s">
        <v>285</v>
      </c>
      <c r="Q16" s="71" t="s">
        <v>285</v>
      </c>
      <c r="R16" s="71" t="s">
        <v>285</v>
      </c>
    </row>
    <row r="17" spans="1:18">
      <c r="A17" s="71" t="s">
        <v>285</v>
      </c>
      <c r="B17" s="71" t="s">
        <v>285</v>
      </c>
      <c r="C17" s="71" t="s">
        <v>285</v>
      </c>
      <c r="D17" s="71"/>
      <c r="E17" s="71"/>
      <c r="F17" s="71"/>
      <c r="G17" s="71"/>
      <c r="H17" s="71"/>
      <c r="I17" s="71"/>
      <c r="J17" s="71"/>
      <c r="K17" s="71"/>
      <c r="L17" s="71" t="s">
        <v>285</v>
      </c>
      <c r="M17" s="71" t="s">
        <v>285</v>
      </c>
      <c r="N17" s="71" t="s">
        <v>285</v>
      </c>
      <c r="O17" s="71" t="s">
        <v>285</v>
      </c>
      <c r="P17" s="71" t="s">
        <v>285</v>
      </c>
      <c r="Q17" s="71" t="s">
        <v>285</v>
      </c>
      <c r="R17" s="71" t="s">
        <v>285</v>
      </c>
    </row>
    <row r="18" spans="1:18">
      <c r="A18" s="71" t="s">
        <v>285</v>
      </c>
      <c r="B18" s="71" t="s">
        <v>285</v>
      </c>
      <c r="C18" s="71" t="s">
        <v>285</v>
      </c>
      <c r="D18" s="71"/>
      <c r="E18" s="71"/>
      <c r="F18" s="71"/>
      <c r="G18" s="71"/>
      <c r="H18" s="71"/>
      <c r="I18" s="71"/>
      <c r="J18" s="71"/>
      <c r="K18" s="71"/>
      <c r="L18" s="71" t="s">
        <v>285</v>
      </c>
      <c r="M18" s="71" t="s">
        <v>285</v>
      </c>
      <c r="N18" s="71" t="s">
        <v>285</v>
      </c>
      <c r="O18" s="71" t="s">
        <v>285</v>
      </c>
      <c r="P18" s="71" t="s">
        <v>285</v>
      </c>
      <c r="Q18" s="71" t="s">
        <v>285</v>
      </c>
      <c r="R18" s="71" t="s">
        <v>285</v>
      </c>
    </row>
    <row r="19" spans="1:18">
      <c r="A19" s="71" t="s">
        <v>285</v>
      </c>
      <c r="B19" s="71" t="s">
        <v>285</v>
      </c>
      <c r="C19" s="71" t="s">
        <v>285</v>
      </c>
      <c r="D19" s="71"/>
      <c r="E19" s="71"/>
      <c r="F19" s="71"/>
      <c r="G19" s="71"/>
      <c r="H19" s="71"/>
      <c r="I19" s="71"/>
      <c r="J19" s="71"/>
      <c r="K19" s="71"/>
      <c r="L19" s="71" t="s">
        <v>285</v>
      </c>
      <c r="M19" s="71" t="s">
        <v>285</v>
      </c>
      <c r="N19" s="71" t="s">
        <v>285</v>
      </c>
      <c r="O19" s="71" t="s">
        <v>285</v>
      </c>
      <c r="P19" s="71" t="s">
        <v>285</v>
      </c>
      <c r="Q19" s="71" t="s">
        <v>285</v>
      </c>
      <c r="R19" s="71" t="s">
        <v>285</v>
      </c>
    </row>
    <row r="20" spans="1:18">
      <c r="A20" s="71" t="s">
        <v>285</v>
      </c>
      <c r="B20" s="71" t="s">
        <v>285</v>
      </c>
      <c r="C20" s="71" t="s">
        <v>285</v>
      </c>
      <c r="D20" s="71"/>
      <c r="E20" s="71"/>
      <c r="F20" s="71"/>
      <c r="G20" s="71"/>
      <c r="H20" s="71"/>
      <c r="I20" s="71"/>
      <c r="J20" s="71"/>
      <c r="K20" s="71"/>
      <c r="L20" s="71" t="s">
        <v>285</v>
      </c>
      <c r="M20" s="71" t="s">
        <v>285</v>
      </c>
      <c r="N20" s="71" t="s">
        <v>285</v>
      </c>
      <c r="O20" s="71" t="s">
        <v>285</v>
      </c>
      <c r="P20" s="71" t="s">
        <v>285</v>
      </c>
      <c r="Q20" s="71" t="s">
        <v>285</v>
      </c>
      <c r="R20" s="71" t="s">
        <v>285</v>
      </c>
    </row>
    <row r="21" spans="1:18">
      <c r="A21" s="71" t="s">
        <v>285</v>
      </c>
      <c r="B21" s="71" t="s">
        <v>285</v>
      </c>
      <c r="C21" s="71" t="s">
        <v>285</v>
      </c>
      <c r="D21" s="71"/>
      <c r="E21" s="71"/>
      <c r="F21" s="71"/>
      <c r="G21" s="71"/>
      <c r="H21" s="71"/>
      <c r="I21" s="71"/>
      <c r="J21" s="71"/>
      <c r="K21" s="71"/>
      <c r="L21" s="71" t="s">
        <v>285</v>
      </c>
      <c r="M21" s="71" t="s">
        <v>285</v>
      </c>
      <c r="N21" s="71" t="s">
        <v>285</v>
      </c>
      <c r="O21" s="71" t="s">
        <v>285</v>
      </c>
      <c r="P21" s="71" t="s">
        <v>285</v>
      </c>
      <c r="Q21" s="71" t="s">
        <v>285</v>
      </c>
      <c r="R21" s="71" t="s">
        <v>285</v>
      </c>
    </row>
    <row r="22" spans="1:18">
      <c r="A22" s="71" t="s">
        <v>285</v>
      </c>
      <c r="B22" s="71" t="s">
        <v>285</v>
      </c>
      <c r="C22" s="71" t="s">
        <v>285</v>
      </c>
      <c r="D22" s="71"/>
      <c r="E22" s="71"/>
      <c r="F22" s="71"/>
      <c r="G22" s="71"/>
      <c r="H22" s="71"/>
      <c r="I22" s="71"/>
      <c r="J22" s="71"/>
      <c r="K22" s="71"/>
      <c r="L22" s="71" t="s">
        <v>285</v>
      </c>
      <c r="M22" s="71" t="s">
        <v>285</v>
      </c>
      <c r="N22" s="71" t="s">
        <v>285</v>
      </c>
      <c r="O22" s="71" t="s">
        <v>285</v>
      </c>
      <c r="P22" s="71" t="s">
        <v>285</v>
      </c>
      <c r="Q22" s="71" t="s">
        <v>285</v>
      </c>
      <c r="R22" s="71" t="s">
        <v>285</v>
      </c>
    </row>
    <row r="23" spans="1:18">
      <c r="A23" s="71" t="s">
        <v>285</v>
      </c>
      <c r="B23" s="71" t="s">
        <v>285</v>
      </c>
      <c r="C23" s="71" t="s">
        <v>285</v>
      </c>
      <c r="D23" s="71"/>
      <c r="E23" s="71"/>
      <c r="F23" s="71"/>
      <c r="G23" s="71"/>
      <c r="H23" s="71"/>
      <c r="I23" s="71"/>
      <c r="J23" s="71"/>
      <c r="K23" s="71"/>
      <c r="L23" s="71" t="s">
        <v>285</v>
      </c>
      <c r="M23" s="71" t="s">
        <v>285</v>
      </c>
      <c r="N23" s="71" t="s">
        <v>285</v>
      </c>
      <c r="O23" s="71" t="s">
        <v>285</v>
      </c>
      <c r="P23" s="71" t="s">
        <v>285</v>
      </c>
      <c r="Q23" s="71" t="s">
        <v>285</v>
      </c>
      <c r="R23" s="71" t="s">
        <v>285</v>
      </c>
    </row>
    <row r="24" spans="1:18">
      <c r="A24" s="71" t="s">
        <v>285</v>
      </c>
      <c r="B24" s="71" t="s">
        <v>285</v>
      </c>
      <c r="C24" s="71" t="s">
        <v>285</v>
      </c>
      <c r="D24" s="71"/>
      <c r="E24" s="71"/>
      <c r="F24" s="71"/>
      <c r="G24" s="71"/>
      <c r="H24" s="71"/>
      <c r="I24" s="71"/>
      <c r="J24" s="71"/>
      <c r="K24" s="71"/>
      <c r="L24" s="71" t="s">
        <v>285</v>
      </c>
      <c r="M24" s="71" t="s">
        <v>285</v>
      </c>
      <c r="N24" s="71" t="s">
        <v>285</v>
      </c>
      <c r="O24" s="71" t="s">
        <v>285</v>
      </c>
      <c r="P24" s="71" t="s">
        <v>285</v>
      </c>
      <c r="Q24" s="71" t="s">
        <v>285</v>
      </c>
      <c r="R24" s="71" t="s">
        <v>285</v>
      </c>
    </row>
    <row r="25" spans="1:18">
      <c r="A25" s="71" t="s">
        <v>285</v>
      </c>
      <c r="B25" s="71" t="s">
        <v>285</v>
      </c>
      <c r="C25" s="71" t="s">
        <v>285</v>
      </c>
      <c r="D25" s="71"/>
      <c r="E25" s="71"/>
      <c r="F25" s="71"/>
      <c r="G25" s="71"/>
      <c r="H25" s="71"/>
      <c r="I25" s="71"/>
      <c r="J25" s="71"/>
      <c r="K25" s="71"/>
      <c r="L25" s="71" t="s">
        <v>285</v>
      </c>
      <c r="M25" s="71" t="s">
        <v>285</v>
      </c>
      <c r="N25" s="71" t="s">
        <v>285</v>
      </c>
      <c r="O25" s="71" t="s">
        <v>285</v>
      </c>
      <c r="P25" s="71" t="s">
        <v>285</v>
      </c>
      <c r="Q25" s="71" t="s">
        <v>285</v>
      </c>
      <c r="R25" s="71" t="s">
        <v>285</v>
      </c>
    </row>
    <row r="26" spans="1:18">
      <c r="A26" s="71" t="s">
        <v>285</v>
      </c>
      <c r="B26" s="71" t="s">
        <v>285</v>
      </c>
      <c r="C26" s="71" t="s">
        <v>285</v>
      </c>
      <c r="D26" s="71"/>
      <c r="E26" s="71"/>
      <c r="F26" s="71"/>
      <c r="G26" s="71"/>
      <c r="H26" s="71"/>
      <c r="I26" s="71"/>
      <c r="J26" s="71"/>
      <c r="K26" s="71"/>
      <c r="L26" s="71" t="s">
        <v>285</v>
      </c>
      <c r="M26" s="71" t="s">
        <v>285</v>
      </c>
      <c r="N26" s="71" t="s">
        <v>285</v>
      </c>
      <c r="O26" s="71" t="s">
        <v>285</v>
      </c>
      <c r="P26" s="71" t="s">
        <v>285</v>
      </c>
      <c r="Q26" s="71" t="s">
        <v>285</v>
      </c>
      <c r="R26" s="71" t="s">
        <v>285</v>
      </c>
    </row>
    <row r="27" spans="1:18">
      <c r="A27" s="71" t="s">
        <v>285</v>
      </c>
      <c r="B27" s="71" t="s">
        <v>285</v>
      </c>
      <c r="C27" s="71" t="s">
        <v>285</v>
      </c>
      <c r="D27" s="71"/>
      <c r="E27" s="71"/>
      <c r="F27" s="71"/>
      <c r="G27" s="71"/>
      <c r="H27" s="71"/>
      <c r="I27" s="71"/>
      <c r="J27" s="71"/>
      <c r="K27" s="71"/>
      <c r="L27" s="71" t="s">
        <v>285</v>
      </c>
      <c r="M27" s="71" t="s">
        <v>285</v>
      </c>
      <c r="N27" s="71" t="s">
        <v>285</v>
      </c>
      <c r="O27" s="71" t="s">
        <v>285</v>
      </c>
      <c r="P27" s="71" t="s">
        <v>285</v>
      </c>
      <c r="Q27" s="71" t="s">
        <v>285</v>
      </c>
      <c r="R27" s="71" t="s">
        <v>285</v>
      </c>
    </row>
    <row r="28" spans="1:18">
      <c r="A28" s="71" t="s">
        <v>285</v>
      </c>
      <c r="B28" s="71" t="s">
        <v>285</v>
      </c>
      <c r="C28" s="71" t="s">
        <v>285</v>
      </c>
      <c r="D28" s="71"/>
      <c r="E28" s="71"/>
      <c r="F28" s="71"/>
      <c r="G28" s="71"/>
      <c r="H28" s="71"/>
      <c r="I28" s="71"/>
      <c r="J28" s="71"/>
      <c r="K28" s="71"/>
      <c r="L28" s="71" t="s">
        <v>285</v>
      </c>
      <c r="M28" s="71" t="s">
        <v>285</v>
      </c>
      <c r="N28" s="71" t="s">
        <v>285</v>
      </c>
      <c r="O28" s="71" t="s">
        <v>285</v>
      </c>
      <c r="P28" s="71" t="s">
        <v>285</v>
      </c>
      <c r="Q28" s="71" t="s">
        <v>285</v>
      </c>
      <c r="R28" s="71" t="s">
        <v>285</v>
      </c>
    </row>
    <row r="29" spans="1:18">
      <c r="A29" s="71" t="s">
        <v>285</v>
      </c>
      <c r="B29" s="71" t="s">
        <v>285</v>
      </c>
      <c r="C29" s="71" t="s">
        <v>285</v>
      </c>
      <c r="D29" s="71"/>
      <c r="E29" s="71"/>
      <c r="F29" s="71"/>
      <c r="G29" s="71"/>
      <c r="H29" s="71"/>
      <c r="I29" s="71"/>
      <c r="J29" s="71"/>
      <c r="K29" s="71"/>
      <c r="L29" s="71" t="s">
        <v>285</v>
      </c>
      <c r="M29" s="71" t="s">
        <v>285</v>
      </c>
      <c r="N29" s="71" t="s">
        <v>285</v>
      </c>
      <c r="O29" s="71" t="s">
        <v>285</v>
      </c>
      <c r="P29" s="71" t="s">
        <v>285</v>
      </c>
      <c r="Q29" s="71" t="s">
        <v>285</v>
      </c>
      <c r="R29" s="71" t="s">
        <v>285</v>
      </c>
    </row>
    <row r="30" spans="1:18">
      <c r="A30" s="71" t="s">
        <v>285</v>
      </c>
      <c r="B30" s="71" t="s">
        <v>285</v>
      </c>
      <c r="C30" s="71" t="s">
        <v>285</v>
      </c>
      <c r="D30" s="71"/>
      <c r="E30" s="71"/>
      <c r="F30" s="71"/>
      <c r="G30" s="71"/>
      <c r="H30" s="71"/>
      <c r="I30" s="71"/>
      <c r="J30" s="71"/>
      <c r="K30" s="71"/>
      <c r="L30" s="71" t="s">
        <v>285</v>
      </c>
      <c r="M30" s="71" t="s">
        <v>285</v>
      </c>
      <c r="N30" s="71" t="s">
        <v>285</v>
      </c>
      <c r="O30" s="71" t="s">
        <v>285</v>
      </c>
      <c r="P30" s="71" t="s">
        <v>285</v>
      </c>
      <c r="Q30" s="71" t="s">
        <v>285</v>
      </c>
      <c r="R30" s="71" t="s">
        <v>285</v>
      </c>
    </row>
    <row r="31" spans="1:18">
      <c r="A31" s="71" t="s">
        <v>285</v>
      </c>
      <c r="B31" s="71" t="s">
        <v>285</v>
      </c>
      <c r="C31" s="71" t="s">
        <v>285</v>
      </c>
      <c r="D31" s="71"/>
      <c r="E31" s="71"/>
      <c r="F31" s="71"/>
      <c r="G31" s="71"/>
      <c r="H31" s="71"/>
      <c r="I31" s="71"/>
      <c r="J31" s="71"/>
      <c r="K31" s="71"/>
      <c r="L31" s="71" t="s">
        <v>285</v>
      </c>
      <c r="M31" s="71" t="s">
        <v>285</v>
      </c>
      <c r="N31" s="71" t="s">
        <v>285</v>
      </c>
      <c r="O31" s="71" t="s">
        <v>285</v>
      </c>
      <c r="P31" s="71" t="s">
        <v>285</v>
      </c>
      <c r="Q31" s="71" t="s">
        <v>285</v>
      </c>
      <c r="R31" s="71" t="s">
        <v>285</v>
      </c>
    </row>
    <row r="32" spans="1:18">
      <c r="A32" s="71" t="s">
        <v>285</v>
      </c>
      <c r="B32" s="71" t="s">
        <v>285</v>
      </c>
      <c r="C32" s="71" t="s">
        <v>285</v>
      </c>
      <c r="D32" s="71"/>
      <c r="E32" s="71"/>
      <c r="F32" s="71"/>
      <c r="G32" s="71"/>
      <c r="H32" s="71"/>
      <c r="I32" s="71"/>
      <c r="J32" s="71"/>
      <c r="K32" s="71"/>
      <c r="L32" s="71" t="s">
        <v>285</v>
      </c>
      <c r="M32" s="71" t="s">
        <v>285</v>
      </c>
      <c r="N32" s="71" t="s">
        <v>285</v>
      </c>
      <c r="O32" s="71" t="s">
        <v>285</v>
      </c>
      <c r="P32" s="71" t="s">
        <v>285</v>
      </c>
      <c r="Q32" s="71" t="s">
        <v>285</v>
      </c>
      <c r="R32" s="71" t="s">
        <v>285</v>
      </c>
    </row>
    <row r="33" spans="1:18">
      <c r="A33" s="71" t="s">
        <v>285</v>
      </c>
      <c r="B33" s="71" t="s">
        <v>285</v>
      </c>
      <c r="C33" s="71" t="s">
        <v>285</v>
      </c>
      <c r="D33" s="71"/>
      <c r="E33" s="71"/>
      <c r="F33" s="71"/>
      <c r="G33" s="71"/>
      <c r="H33" s="71"/>
      <c r="I33" s="71"/>
      <c r="J33" s="71"/>
      <c r="K33" s="71"/>
      <c r="L33" s="71" t="s">
        <v>285</v>
      </c>
      <c r="M33" s="71" t="s">
        <v>285</v>
      </c>
      <c r="N33" s="71" t="s">
        <v>285</v>
      </c>
      <c r="O33" s="71" t="s">
        <v>285</v>
      </c>
      <c r="P33" s="71" t="s">
        <v>285</v>
      </c>
      <c r="Q33" s="71" t="s">
        <v>285</v>
      </c>
      <c r="R33" s="71" t="s">
        <v>285</v>
      </c>
    </row>
    <row r="34" spans="1:18">
      <c r="A34" s="71" t="s">
        <v>285</v>
      </c>
      <c r="B34" s="71" t="s">
        <v>285</v>
      </c>
      <c r="C34" s="71" t="s">
        <v>285</v>
      </c>
      <c r="D34" s="71"/>
      <c r="E34" s="71"/>
      <c r="F34" s="71"/>
      <c r="G34" s="71"/>
      <c r="H34" s="71"/>
      <c r="I34" s="71"/>
      <c r="J34" s="71"/>
      <c r="K34" s="71"/>
      <c r="L34" s="71" t="s">
        <v>285</v>
      </c>
      <c r="M34" s="71" t="s">
        <v>285</v>
      </c>
      <c r="N34" s="71" t="s">
        <v>285</v>
      </c>
      <c r="O34" s="71" t="s">
        <v>285</v>
      </c>
      <c r="P34" s="71" t="s">
        <v>285</v>
      </c>
      <c r="Q34" s="71" t="s">
        <v>285</v>
      </c>
      <c r="R34" s="71" t="s">
        <v>285</v>
      </c>
    </row>
    <row r="35" spans="1:18">
      <c r="A35" s="71" t="s">
        <v>285</v>
      </c>
      <c r="B35" s="71" t="s">
        <v>285</v>
      </c>
      <c r="C35" s="71" t="s">
        <v>285</v>
      </c>
      <c r="D35" s="71"/>
      <c r="E35" s="71"/>
      <c r="F35" s="71"/>
      <c r="G35" s="71"/>
      <c r="H35" s="71"/>
      <c r="I35" s="71"/>
      <c r="J35" s="71"/>
      <c r="K35" s="71"/>
      <c r="L35" s="71" t="s">
        <v>285</v>
      </c>
      <c r="M35" s="71" t="s">
        <v>285</v>
      </c>
      <c r="N35" s="71" t="s">
        <v>285</v>
      </c>
      <c r="O35" s="71" t="s">
        <v>285</v>
      </c>
      <c r="P35" s="71" t="s">
        <v>285</v>
      </c>
      <c r="Q35" s="71" t="s">
        <v>285</v>
      </c>
      <c r="R35" s="71" t="s">
        <v>285</v>
      </c>
    </row>
    <row r="36" spans="1:18">
      <c r="A36" s="71" t="s">
        <v>285</v>
      </c>
      <c r="B36" s="71" t="s">
        <v>285</v>
      </c>
      <c r="C36" s="71" t="s">
        <v>285</v>
      </c>
      <c r="D36" s="71"/>
      <c r="E36" s="71"/>
      <c r="F36" s="71"/>
      <c r="G36" s="71"/>
      <c r="H36" s="71"/>
      <c r="I36" s="71"/>
      <c r="J36" s="71"/>
      <c r="K36" s="71"/>
      <c r="L36" s="71" t="s">
        <v>285</v>
      </c>
      <c r="M36" s="71" t="s">
        <v>285</v>
      </c>
      <c r="N36" s="71" t="s">
        <v>285</v>
      </c>
      <c r="O36" s="71" t="s">
        <v>285</v>
      </c>
      <c r="P36" s="71" t="s">
        <v>285</v>
      </c>
      <c r="Q36" s="71" t="s">
        <v>285</v>
      </c>
      <c r="R36" s="71" t="s">
        <v>285</v>
      </c>
    </row>
    <row r="37" spans="1:18">
      <c r="A37" s="71" t="s">
        <v>285</v>
      </c>
      <c r="B37" s="71" t="s">
        <v>285</v>
      </c>
      <c r="C37" s="71" t="s">
        <v>285</v>
      </c>
      <c r="D37" s="71"/>
      <c r="E37" s="71"/>
      <c r="F37" s="71"/>
      <c r="G37" s="71"/>
      <c r="H37" s="71"/>
      <c r="I37" s="71"/>
      <c r="J37" s="71"/>
      <c r="K37" s="71"/>
      <c r="L37" s="71" t="s">
        <v>285</v>
      </c>
      <c r="M37" s="71" t="s">
        <v>285</v>
      </c>
      <c r="N37" s="71" t="s">
        <v>285</v>
      </c>
      <c r="O37" s="71" t="s">
        <v>285</v>
      </c>
      <c r="P37" s="71" t="s">
        <v>285</v>
      </c>
      <c r="Q37" s="71" t="s">
        <v>285</v>
      </c>
      <c r="R37" s="71" t="s">
        <v>285</v>
      </c>
    </row>
    <row r="38" spans="1:18">
      <c r="A38" s="71" t="s">
        <v>285</v>
      </c>
      <c r="B38" s="71" t="s">
        <v>285</v>
      </c>
      <c r="C38" s="71" t="s">
        <v>285</v>
      </c>
      <c r="D38" s="71"/>
      <c r="E38" s="71"/>
      <c r="F38" s="71"/>
      <c r="G38" s="71"/>
      <c r="H38" s="71"/>
      <c r="I38" s="71"/>
      <c r="J38" s="71"/>
      <c r="K38" s="71"/>
      <c r="L38" s="71" t="s">
        <v>285</v>
      </c>
      <c r="M38" s="71" t="s">
        <v>285</v>
      </c>
      <c r="N38" s="71" t="s">
        <v>285</v>
      </c>
      <c r="O38" s="71" t="s">
        <v>285</v>
      </c>
      <c r="P38" s="71" t="s">
        <v>285</v>
      </c>
      <c r="Q38" s="71" t="s">
        <v>285</v>
      </c>
      <c r="R38" s="71" t="s">
        <v>285</v>
      </c>
    </row>
    <row r="39" spans="1:18">
      <c r="A39" s="71" t="s">
        <v>285</v>
      </c>
      <c r="B39" s="71" t="s">
        <v>285</v>
      </c>
      <c r="C39" s="71" t="s">
        <v>285</v>
      </c>
      <c r="D39" s="71"/>
      <c r="E39" s="71"/>
      <c r="F39" s="71"/>
      <c r="G39" s="71"/>
      <c r="H39" s="71"/>
      <c r="I39" s="71"/>
      <c r="J39" s="71"/>
      <c r="K39" s="71"/>
      <c r="L39" s="71" t="s">
        <v>285</v>
      </c>
      <c r="M39" s="71" t="s">
        <v>285</v>
      </c>
      <c r="N39" s="71" t="s">
        <v>285</v>
      </c>
      <c r="O39" s="71" t="s">
        <v>285</v>
      </c>
      <c r="P39" s="71" t="s">
        <v>285</v>
      </c>
      <c r="Q39" s="71" t="s">
        <v>285</v>
      </c>
      <c r="R39" s="71" t="s">
        <v>285</v>
      </c>
    </row>
    <row r="40" spans="1:18">
      <c r="A40" s="71" t="s">
        <v>285</v>
      </c>
      <c r="B40" s="71" t="s">
        <v>285</v>
      </c>
      <c r="C40" s="71" t="s">
        <v>285</v>
      </c>
      <c r="D40" s="71"/>
      <c r="E40" s="71"/>
      <c r="F40" s="71"/>
      <c r="G40" s="71"/>
      <c r="H40" s="71"/>
      <c r="I40" s="71"/>
      <c r="J40" s="71"/>
      <c r="K40" s="71"/>
      <c r="L40" s="71" t="s">
        <v>285</v>
      </c>
      <c r="M40" s="71" t="s">
        <v>285</v>
      </c>
      <c r="N40" s="71" t="s">
        <v>285</v>
      </c>
      <c r="O40" s="71" t="s">
        <v>285</v>
      </c>
      <c r="P40" s="71" t="s">
        <v>285</v>
      </c>
      <c r="Q40" s="71" t="s">
        <v>285</v>
      </c>
      <c r="R40" s="71" t="s">
        <v>285</v>
      </c>
    </row>
    <row r="41" spans="1:18">
      <c r="A41" s="71" t="s">
        <v>285</v>
      </c>
      <c r="B41" s="71" t="s">
        <v>285</v>
      </c>
      <c r="C41" s="71" t="s">
        <v>285</v>
      </c>
      <c r="D41" s="71"/>
      <c r="E41" s="71"/>
      <c r="F41" s="71"/>
      <c r="G41" s="71"/>
      <c r="H41" s="71"/>
      <c r="I41" s="71"/>
      <c r="J41" s="71"/>
      <c r="K41" s="71"/>
      <c r="L41" s="71" t="s">
        <v>285</v>
      </c>
      <c r="M41" s="71" t="s">
        <v>285</v>
      </c>
      <c r="N41" s="71" t="s">
        <v>285</v>
      </c>
      <c r="O41" s="71" t="s">
        <v>285</v>
      </c>
      <c r="P41" s="71" t="s">
        <v>285</v>
      </c>
      <c r="Q41" s="71" t="s">
        <v>285</v>
      </c>
      <c r="R41" s="71" t="s">
        <v>285</v>
      </c>
    </row>
    <row r="42" spans="1:18">
      <c r="A42" s="71" t="s">
        <v>285</v>
      </c>
      <c r="B42" s="71" t="s">
        <v>285</v>
      </c>
      <c r="C42" s="71" t="s">
        <v>285</v>
      </c>
      <c r="D42" s="71"/>
      <c r="E42" s="71"/>
      <c r="F42" s="71"/>
      <c r="G42" s="71"/>
      <c r="H42" s="71"/>
      <c r="I42" s="71"/>
      <c r="J42" s="71"/>
      <c r="K42" s="71"/>
      <c r="L42" s="71" t="s">
        <v>285</v>
      </c>
      <c r="M42" s="71" t="s">
        <v>285</v>
      </c>
      <c r="N42" s="71" t="s">
        <v>285</v>
      </c>
      <c r="O42" s="71" t="s">
        <v>285</v>
      </c>
      <c r="P42" s="71" t="s">
        <v>285</v>
      </c>
      <c r="Q42" s="71" t="s">
        <v>285</v>
      </c>
      <c r="R42" s="71" t="s">
        <v>285</v>
      </c>
    </row>
    <row r="43" spans="1:18">
      <c r="A43" s="71" t="s">
        <v>285</v>
      </c>
      <c r="B43" s="71" t="s">
        <v>285</v>
      </c>
      <c r="C43" s="71" t="s">
        <v>285</v>
      </c>
      <c r="D43" s="71"/>
      <c r="E43" s="71"/>
      <c r="F43" s="71"/>
      <c r="G43" s="71"/>
      <c r="H43" s="71"/>
      <c r="I43" s="71"/>
      <c r="J43" s="71"/>
      <c r="K43" s="71"/>
      <c r="L43" s="71" t="s">
        <v>285</v>
      </c>
      <c r="M43" s="71" t="s">
        <v>285</v>
      </c>
      <c r="N43" s="71" t="s">
        <v>285</v>
      </c>
      <c r="O43" s="71" t="s">
        <v>285</v>
      </c>
      <c r="P43" s="71" t="s">
        <v>285</v>
      </c>
      <c r="Q43" s="71" t="s">
        <v>285</v>
      </c>
      <c r="R43" s="71" t="s">
        <v>285</v>
      </c>
    </row>
    <row r="44" spans="1:18">
      <c r="A44" s="71" t="s">
        <v>285</v>
      </c>
      <c r="B44" s="71" t="s">
        <v>285</v>
      </c>
      <c r="C44" s="71" t="s">
        <v>285</v>
      </c>
      <c r="D44" s="71"/>
      <c r="E44" s="71"/>
      <c r="F44" s="71"/>
      <c r="G44" s="71"/>
      <c r="H44" s="71"/>
      <c r="I44" s="71"/>
      <c r="J44" s="71"/>
      <c r="K44" s="71"/>
      <c r="L44" s="71" t="s">
        <v>285</v>
      </c>
      <c r="M44" s="71" t="s">
        <v>285</v>
      </c>
      <c r="N44" s="71" t="s">
        <v>285</v>
      </c>
      <c r="O44" s="71" t="s">
        <v>285</v>
      </c>
      <c r="P44" s="71" t="s">
        <v>285</v>
      </c>
      <c r="Q44" s="71" t="s">
        <v>285</v>
      </c>
      <c r="R44" s="71" t="s">
        <v>285</v>
      </c>
    </row>
    <row r="45" spans="1:18">
      <c r="A45" s="71" t="s">
        <v>285</v>
      </c>
      <c r="B45" s="71" t="s">
        <v>285</v>
      </c>
      <c r="C45" s="71" t="s">
        <v>285</v>
      </c>
      <c r="D45" s="71"/>
      <c r="E45" s="71"/>
      <c r="F45" s="71"/>
      <c r="G45" s="71"/>
      <c r="H45" s="71"/>
      <c r="I45" s="71"/>
      <c r="J45" s="71"/>
      <c r="K45" s="71"/>
      <c r="L45" s="71" t="s">
        <v>285</v>
      </c>
      <c r="M45" s="71" t="s">
        <v>285</v>
      </c>
      <c r="N45" s="71" t="s">
        <v>285</v>
      </c>
      <c r="O45" s="71" t="s">
        <v>285</v>
      </c>
      <c r="P45" s="71" t="s">
        <v>285</v>
      </c>
      <c r="Q45" s="71" t="s">
        <v>285</v>
      </c>
      <c r="R45" s="71" t="s">
        <v>285</v>
      </c>
    </row>
    <row r="46" spans="1:18">
      <c r="A46" s="71" t="s">
        <v>285</v>
      </c>
      <c r="B46" s="71" t="s">
        <v>285</v>
      </c>
      <c r="C46" s="71" t="s">
        <v>285</v>
      </c>
      <c r="D46" s="71"/>
      <c r="E46" s="71"/>
      <c r="F46" s="71"/>
      <c r="G46" s="71"/>
      <c r="H46" s="71"/>
      <c r="I46" s="71"/>
      <c r="J46" s="71"/>
      <c r="K46" s="71"/>
      <c r="L46" s="71" t="s">
        <v>285</v>
      </c>
      <c r="M46" s="71" t="s">
        <v>285</v>
      </c>
      <c r="N46" s="71" t="s">
        <v>285</v>
      </c>
      <c r="O46" s="71" t="s">
        <v>285</v>
      </c>
      <c r="P46" s="71" t="s">
        <v>285</v>
      </c>
      <c r="Q46" s="71" t="s">
        <v>285</v>
      </c>
      <c r="R46" s="71" t="s">
        <v>285</v>
      </c>
    </row>
    <row r="47" spans="1:18">
      <c r="A47" s="71" t="s">
        <v>285</v>
      </c>
      <c r="B47" s="71" t="s">
        <v>285</v>
      </c>
      <c r="C47" s="71" t="s">
        <v>285</v>
      </c>
      <c r="D47" s="71"/>
      <c r="E47" s="71"/>
      <c r="F47" s="71"/>
      <c r="G47" s="71"/>
      <c r="H47" s="71"/>
      <c r="I47" s="71"/>
      <c r="J47" s="71"/>
      <c r="K47" s="71"/>
      <c r="L47" s="71" t="s">
        <v>285</v>
      </c>
      <c r="M47" s="71" t="s">
        <v>285</v>
      </c>
      <c r="N47" s="71" t="s">
        <v>285</v>
      </c>
      <c r="O47" s="71" t="s">
        <v>285</v>
      </c>
      <c r="P47" s="71" t="s">
        <v>285</v>
      </c>
      <c r="Q47" s="71" t="s">
        <v>285</v>
      </c>
      <c r="R47" s="71" t="s">
        <v>285</v>
      </c>
    </row>
    <row r="48" spans="1:18">
      <c r="A48" s="71" t="s">
        <v>285</v>
      </c>
      <c r="B48" s="71" t="s">
        <v>285</v>
      </c>
      <c r="C48" s="71" t="s">
        <v>285</v>
      </c>
      <c r="D48" s="71"/>
      <c r="E48" s="71"/>
      <c r="F48" s="71"/>
      <c r="G48" s="71"/>
      <c r="H48" s="71"/>
      <c r="I48" s="71"/>
      <c r="J48" s="71"/>
      <c r="K48" s="71"/>
      <c r="L48" s="71" t="s">
        <v>285</v>
      </c>
      <c r="M48" s="71" t="s">
        <v>285</v>
      </c>
      <c r="N48" s="71" t="s">
        <v>285</v>
      </c>
      <c r="O48" s="71" t="s">
        <v>285</v>
      </c>
      <c r="P48" s="71" t="s">
        <v>285</v>
      </c>
      <c r="Q48" s="71" t="s">
        <v>285</v>
      </c>
      <c r="R48" s="71" t="s">
        <v>285</v>
      </c>
    </row>
    <row r="49" spans="1:18">
      <c r="A49" s="71" t="s">
        <v>285</v>
      </c>
      <c r="B49" s="71" t="s">
        <v>285</v>
      </c>
      <c r="C49" s="71" t="s">
        <v>285</v>
      </c>
      <c r="D49" s="71"/>
      <c r="E49" s="71"/>
      <c r="F49" s="71"/>
      <c r="G49" s="71"/>
      <c r="H49" s="71"/>
      <c r="I49" s="71"/>
      <c r="J49" s="71"/>
      <c r="K49" s="71"/>
      <c r="L49" s="71" t="s">
        <v>285</v>
      </c>
      <c r="M49" s="71" t="s">
        <v>285</v>
      </c>
      <c r="N49" s="71" t="s">
        <v>285</v>
      </c>
      <c r="O49" s="71" t="s">
        <v>285</v>
      </c>
      <c r="P49" s="71" t="s">
        <v>285</v>
      </c>
      <c r="Q49" s="71" t="s">
        <v>285</v>
      </c>
      <c r="R49" s="71" t="s">
        <v>285</v>
      </c>
    </row>
    <row r="50" spans="1:18">
      <c r="A50" s="71" t="s">
        <v>285</v>
      </c>
      <c r="B50" s="71" t="s">
        <v>285</v>
      </c>
      <c r="C50" s="71" t="s">
        <v>285</v>
      </c>
      <c r="D50" s="71"/>
      <c r="E50" s="71"/>
      <c r="F50" s="71"/>
      <c r="G50" s="71"/>
      <c r="H50" s="71"/>
      <c r="I50" s="71"/>
      <c r="J50" s="71"/>
      <c r="K50" s="71"/>
      <c r="L50" s="71" t="s">
        <v>285</v>
      </c>
      <c r="M50" s="71" t="s">
        <v>285</v>
      </c>
      <c r="N50" s="71" t="s">
        <v>285</v>
      </c>
      <c r="O50" s="71" t="s">
        <v>285</v>
      </c>
      <c r="P50" s="71" t="s">
        <v>285</v>
      </c>
      <c r="Q50" s="71" t="s">
        <v>285</v>
      </c>
      <c r="R50" s="71" t="s">
        <v>285</v>
      </c>
    </row>
    <row r="51" spans="1:18">
      <c r="A51" s="71" t="s">
        <v>285</v>
      </c>
      <c r="B51" s="71" t="s">
        <v>285</v>
      </c>
      <c r="C51" s="71" t="s">
        <v>285</v>
      </c>
      <c r="D51" s="71"/>
      <c r="E51" s="71"/>
      <c r="F51" s="71"/>
      <c r="G51" s="71"/>
      <c r="H51" s="71"/>
      <c r="I51" s="71"/>
      <c r="J51" s="71"/>
      <c r="K51" s="71"/>
      <c r="L51" s="71" t="s">
        <v>285</v>
      </c>
      <c r="M51" s="71" t="s">
        <v>285</v>
      </c>
      <c r="N51" s="71" t="s">
        <v>285</v>
      </c>
      <c r="O51" s="71" t="s">
        <v>285</v>
      </c>
      <c r="P51" s="71" t="s">
        <v>285</v>
      </c>
      <c r="Q51" s="71" t="s">
        <v>285</v>
      </c>
      <c r="R51" s="71" t="s">
        <v>285</v>
      </c>
    </row>
    <row r="52" spans="1:18">
      <c r="A52" s="71" t="s">
        <v>285</v>
      </c>
      <c r="B52" s="71" t="s">
        <v>285</v>
      </c>
      <c r="C52" s="71" t="s">
        <v>285</v>
      </c>
      <c r="D52" s="71"/>
      <c r="E52" s="71"/>
      <c r="F52" s="71"/>
      <c r="G52" s="71"/>
      <c r="H52" s="71"/>
      <c r="I52" s="71"/>
      <c r="J52" s="71"/>
      <c r="K52" s="71"/>
      <c r="L52" s="71" t="s">
        <v>285</v>
      </c>
      <c r="M52" s="71" t="s">
        <v>285</v>
      </c>
      <c r="N52" s="71" t="s">
        <v>285</v>
      </c>
      <c r="O52" s="71" t="s">
        <v>285</v>
      </c>
      <c r="P52" s="71" t="s">
        <v>285</v>
      </c>
      <c r="Q52" s="71" t="s">
        <v>285</v>
      </c>
      <c r="R52" s="71" t="s">
        <v>285</v>
      </c>
    </row>
    <row r="53" spans="1:18">
      <c r="A53" s="71" t="s">
        <v>285</v>
      </c>
      <c r="B53" s="71" t="s">
        <v>285</v>
      </c>
      <c r="C53" s="71" t="s">
        <v>285</v>
      </c>
      <c r="D53" s="71"/>
      <c r="E53" s="71"/>
      <c r="F53" s="71"/>
      <c r="G53" s="71"/>
      <c r="H53" s="71"/>
      <c r="I53" s="71"/>
      <c r="J53" s="71"/>
      <c r="K53" s="71"/>
      <c r="L53" s="71" t="s">
        <v>285</v>
      </c>
      <c r="M53" s="71" t="s">
        <v>285</v>
      </c>
      <c r="N53" s="71" t="s">
        <v>285</v>
      </c>
      <c r="O53" s="71" t="s">
        <v>285</v>
      </c>
      <c r="P53" s="71" t="s">
        <v>285</v>
      </c>
      <c r="Q53" s="71" t="s">
        <v>285</v>
      </c>
      <c r="R53" s="71" t="s">
        <v>285</v>
      </c>
    </row>
    <row r="54" spans="1:18">
      <c r="A54" s="71" t="s">
        <v>285</v>
      </c>
      <c r="B54" s="71" t="s">
        <v>285</v>
      </c>
      <c r="C54" s="71" t="s">
        <v>285</v>
      </c>
      <c r="D54" s="71"/>
      <c r="E54" s="71"/>
      <c r="F54" s="71"/>
      <c r="G54" s="71"/>
      <c r="H54" s="71"/>
      <c r="I54" s="71"/>
      <c r="J54" s="71"/>
      <c r="K54" s="71"/>
      <c r="L54" s="71" t="s">
        <v>285</v>
      </c>
      <c r="M54" s="71" t="s">
        <v>285</v>
      </c>
      <c r="N54" s="71" t="s">
        <v>285</v>
      </c>
      <c r="O54" s="71" t="s">
        <v>285</v>
      </c>
      <c r="P54" s="71" t="s">
        <v>285</v>
      </c>
      <c r="Q54" s="71" t="s">
        <v>285</v>
      </c>
      <c r="R54" s="71" t="s">
        <v>285</v>
      </c>
    </row>
    <row r="55" spans="1:18">
      <c r="A55" s="71" t="s">
        <v>285</v>
      </c>
      <c r="B55" s="71" t="s">
        <v>285</v>
      </c>
      <c r="C55" s="71" t="s">
        <v>285</v>
      </c>
      <c r="D55" s="71"/>
      <c r="E55" s="71"/>
      <c r="F55" s="71"/>
      <c r="G55" s="71"/>
      <c r="H55" s="71"/>
      <c r="I55" s="71"/>
      <c r="J55" s="71"/>
      <c r="K55" s="71"/>
      <c r="L55" s="71" t="s">
        <v>285</v>
      </c>
      <c r="M55" s="71" t="s">
        <v>285</v>
      </c>
      <c r="N55" s="71" t="s">
        <v>285</v>
      </c>
      <c r="O55" s="71" t="s">
        <v>285</v>
      </c>
      <c r="P55" s="71" t="s">
        <v>285</v>
      </c>
      <c r="Q55" s="71" t="s">
        <v>285</v>
      </c>
      <c r="R55" s="71" t="s">
        <v>285</v>
      </c>
    </row>
    <row r="56" spans="1:18">
      <c r="A56" s="71" t="s">
        <v>285</v>
      </c>
      <c r="B56" s="71" t="s">
        <v>285</v>
      </c>
      <c r="C56" s="71" t="s">
        <v>285</v>
      </c>
      <c r="D56" s="71"/>
      <c r="E56" s="71"/>
      <c r="F56" s="71"/>
      <c r="G56" s="71"/>
      <c r="H56" s="71"/>
      <c r="I56" s="71"/>
      <c r="J56" s="71"/>
      <c r="K56" s="71"/>
      <c r="L56" s="71" t="s">
        <v>285</v>
      </c>
      <c r="M56" s="71" t="s">
        <v>285</v>
      </c>
      <c r="N56" s="71" t="s">
        <v>285</v>
      </c>
      <c r="O56" s="71" t="s">
        <v>285</v>
      </c>
      <c r="P56" s="71" t="s">
        <v>285</v>
      </c>
      <c r="Q56" s="71" t="s">
        <v>285</v>
      </c>
      <c r="R56" s="71" t="s">
        <v>285</v>
      </c>
    </row>
    <row r="57" spans="1:18">
      <c r="A57" s="71" t="s">
        <v>285</v>
      </c>
      <c r="B57" s="71" t="s">
        <v>285</v>
      </c>
      <c r="C57" s="71" t="s">
        <v>285</v>
      </c>
      <c r="D57" s="71"/>
      <c r="E57" s="71"/>
      <c r="F57" s="71"/>
      <c r="G57" s="71"/>
      <c r="H57" s="71"/>
      <c r="I57" s="71"/>
      <c r="J57" s="71"/>
      <c r="K57" s="71"/>
      <c r="L57" s="71" t="s">
        <v>285</v>
      </c>
      <c r="M57" s="71" t="s">
        <v>285</v>
      </c>
      <c r="N57" s="71" t="s">
        <v>285</v>
      </c>
      <c r="O57" s="71" t="s">
        <v>285</v>
      </c>
      <c r="P57" s="71" t="s">
        <v>285</v>
      </c>
      <c r="Q57" s="71" t="s">
        <v>285</v>
      </c>
      <c r="R57" s="71" t="s">
        <v>285</v>
      </c>
    </row>
    <row r="58" spans="1:18">
      <c r="A58" s="71" t="s">
        <v>285</v>
      </c>
      <c r="B58" s="71" t="s">
        <v>285</v>
      </c>
      <c r="C58" s="71" t="s">
        <v>285</v>
      </c>
      <c r="D58" s="71"/>
      <c r="E58" s="71"/>
      <c r="F58" s="71"/>
      <c r="G58" s="71"/>
      <c r="H58" s="71"/>
      <c r="I58" s="71"/>
      <c r="J58" s="71"/>
      <c r="K58" s="71"/>
      <c r="L58" s="71" t="s">
        <v>285</v>
      </c>
      <c r="M58" s="71" t="s">
        <v>285</v>
      </c>
      <c r="N58" s="71" t="s">
        <v>285</v>
      </c>
      <c r="O58" s="71" t="s">
        <v>285</v>
      </c>
      <c r="P58" s="71" t="s">
        <v>285</v>
      </c>
      <c r="Q58" s="71" t="s">
        <v>285</v>
      </c>
      <c r="R58" s="71" t="s">
        <v>285</v>
      </c>
    </row>
    <row r="59" spans="1:18">
      <c r="A59" s="71" t="s">
        <v>285</v>
      </c>
      <c r="B59" s="71" t="s">
        <v>285</v>
      </c>
      <c r="C59" s="71" t="s">
        <v>285</v>
      </c>
      <c r="D59" s="71"/>
      <c r="E59" s="71"/>
      <c r="F59" s="71"/>
      <c r="G59" s="71"/>
      <c r="H59" s="71"/>
      <c r="I59" s="71"/>
      <c r="J59" s="71"/>
      <c r="K59" s="71"/>
      <c r="L59" s="71" t="s">
        <v>285</v>
      </c>
      <c r="M59" s="71" t="s">
        <v>285</v>
      </c>
      <c r="N59" s="71" t="s">
        <v>285</v>
      </c>
      <c r="O59" s="71" t="s">
        <v>285</v>
      </c>
      <c r="P59" s="71" t="s">
        <v>285</v>
      </c>
      <c r="Q59" s="71" t="s">
        <v>285</v>
      </c>
      <c r="R59" s="71" t="s">
        <v>285</v>
      </c>
    </row>
    <row r="60" spans="1:18">
      <c r="A60" s="71" t="s">
        <v>285</v>
      </c>
      <c r="B60" s="71" t="s">
        <v>285</v>
      </c>
      <c r="C60" s="71" t="s">
        <v>285</v>
      </c>
      <c r="D60" s="71"/>
      <c r="E60" s="71"/>
      <c r="F60" s="71"/>
      <c r="G60" s="71"/>
      <c r="H60" s="71"/>
      <c r="I60" s="71"/>
      <c r="J60" s="71"/>
      <c r="K60" s="71"/>
      <c r="L60" s="71" t="s">
        <v>285</v>
      </c>
      <c r="M60" s="71" t="s">
        <v>285</v>
      </c>
      <c r="N60" s="71" t="s">
        <v>285</v>
      </c>
      <c r="O60" s="71" t="s">
        <v>285</v>
      </c>
      <c r="P60" s="71" t="s">
        <v>285</v>
      </c>
      <c r="Q60" s="71" t="s">
        <v>285</v>
      </c>
      <c r="R60" s="71" t="s">
        <v>285</v>
      </c>
    </row>
    <row r="61" spans="1:18">
      <c r="D61" s="71"/>
      <c r="E61" s="71"/>
      <c r="F61" s="71"/>
      <c r="G61" s="71"/>
      <c r="H61" s="71"/>
      <c r="I61" s="71"/>
      <c r="J61" s="71"/>
    </row>
    <row r="62" spans="1:18">
      <c r="D62" s="71"/>
      <c r="E62" s="71"/>
      <c r="F62" s="71"/>
      <c r="G62" s="71"/>
      <c r="H62" s="71"/>
      <c r="I62" s="71"/>
      <c r="J62" s="71"/>
    </row>
    <row r="63" spans="1:18">
      <c r="D63" s="71"/>
      <c r="E63" s="71"/>
      <c r="F63" s="71"/>
      <c r="G63" s="71"/>
      <c r="H63" s="71"/>
      <c r="I63" s="71"/>
      <c r="J63" s="71"/>
    </row>
    <row r="64" spans="1:18">
      <c r="D64" s="71"/>
      <c r="E64" s="71"/>
      <c r="F64" s="71"/>
      <c r="G64" s="71"/>
      <c r="H64" s="71"/>
      <c r="I64" s="71"/>
      <c r="J64" s="71"/>
    </row>
    <row r="65" spans="4:10">
      <c r="D65" s="71"/>
      <c r="E65" s="71"/>
      <c r="F65" s="71"/>
      <c r="G65" s="71"/>
      <c r="H65" s="71"/>
      <c r="I65" s="71"/>
      <c r="J65" s="71"/>
    </row>
    <row r="66" spans="4:10">
      <c r="D66" s="71"/>
      <c r="E66" s="71"/>
      <c r="F66" s="71"/>
      <c r="G66" s="71"/>
      <c r="H66" s="71"/>
      <c r="I66" s="71"/>
      <c r="J66" s="71"/>
    </row>
    <row r="67" spans="4:10">
      <c r="D67" s="71"/>
      <c r="E67" s="71"/>
      <c r="F67" s="71"/>
      <c r="G67" s="71"/>
      <c r="H67" s="71"/>
      <c r="I67" s="71"/>
      <c r="J67" s="71"/>
    </row>
    <row r="68" spans="4:10">
      <c r="D68" s="71"/>
      <c r="E68" s="71"/>
      <c r="F68" s="71"/>
      <c r="G68" s="71"/>
      <c r="H68" s="71"/>
      <c r="I68" s="71"/>
      <c r="J68" s="71"/>
    </row>
    <row r="69" spans="4:10">
      <c r="D69" s="71"/>
      <c r="E69" s="71"/>
      <c r="F69" s="71"/>
      <c r="G69" s="71"/>
      <c r="H69" s="71"/>
      <c r="I69" s="71"/>
      <c r="J69" s="71"/>
    </row>
    <row r="70" spans="4:10">
      <c r="D70" s="71"/>
      <c r="E70" s="71"/>
      <c r="F70" s="71"/>
      <c r="G70" s="71"/>
      <c r="H70" s="71"/>
      <c r="I70" s="71"/>
      <c r="J70" s="71"/>
    </row>
    <row r="71" spans="4:10">
      <c r="D71" s="71"/>
      <c r="E71" s="71"/>
      <c r="F71" s="71"/>
      <c r="G71" s="71"/>
      <c r="H71" s="71"/>
      <c r="I71" s="71"/>
      <c r="J71" s="71"/>
    </row>
    <row r="72" spans="4:10">
      <c r="D72" s="71"/>
      <c r="E72" s="71"/>
      <c r="F72" s="71"/>
      <c r="G72" s="71"/>
      <c r="H72" s="71"/>
      <c r="I72" s="71"/>
      <c r="J72" s="71"/>
    </row>
    <row r="73" spans="4:10">
      <c r="D73" s="71"/>
      <c r="E73" s="71"/>
      <c r="F73" s="71"/>
      <c r="G73" s="71"/>
      <c r="H73" s="71"/>
      <c r="I73" s="71"/>
      <c r="J73" s="71"/>
    </row>
    <row r="74" spans="4:10">
      <c r="D74" s="71"/>
      <c r="E74" s="71"/>
      <c r="F74" s="71"/>
      <c r="G74" s="71"/>
      <c r="H74" s="71"/>
      <c r="I74" s="71"/>
      <c r="J74" s="71"/>
    </row>
    <row r="75" spans="4:10">
      <c r="D75" s="71"/>
      <c r="E75" s="71"/>
      <c r="F75" s="71"/>
      <c r="G75" s="71"/>
      <c r="H75" s="71"/>
      <c r="I75" s="71"/>
      <c r="J75" s="71"/>
    </row>
    <row r="76" spans="4:10">
      <c r="D76" s="71"/>
      <c r="E76" s="71"/>
      <c r="F76" s="71"/>
      <c r="G76" s="71"/>
      <c r="H76" s="71"/>
      <c r="I76" s="71"/>
      <c r="J76" s="71"/>
    </row>
    <row r="77" spans="4:10">
      <c r="D77" s="71"/>
      <c r="E77" s="71"/>
      <c r="F77" s="71"/>
      <c r="G77" s="71"/>
      <c r="H77" s="71"/>
      <c r="I77" s="71"/>
      <c r="J77" s="71"/>
    </row>
    <row r="78" spans="4:10">
      <c r="D78" s="71"/>
      <c r="E78" s="71"/>
      <c r="F78" s="71"/>
      <c r="G78" s="71"/>
      <c r="H78" s="71"/>
      <c r="I78" s="71"/>
      <c r="J78" s="71"/>
    </row>
    <row r="79" spans="4:10">
      <c r="D79" s="71"/>
      <c r="E79" s="71"/>
      <c r="F79" s="71"/>
      <c r="G79" s="71"/>
      <c r="H79" s="71"/>
      <c r="I79" s="71"/>
      <c r="J79" s="71"/>
    </row>
    <row r="80" spans="4:10">
      <c r="D80" s="71"/>
      <c r="E80" s="71"/>
      <c r="F80" s="71"/>
      <c r="G80" s="71"/>
      <c r="H80" s="71"/>
      <c r="I80" s="71"/>
      <c r="J80" s="71"/>
    </row>
    <row r="81" spans="4:10">
      <c r="D81" s="71"/>
      <c r="E81" s="71"/>
      <c r="F81" s="71"/>
      <c r="G81" s="71"/>
      <c r="H81" s="71"/>
      <c r="I81" s="71"/>
      <c r="J81" s="71"/>
    </row>
    <row r="82" spans="4:10">
      <c r="D82" s="71"/>
      <c r="E82" s="71"/>
      <c r="F82" s="71"/>
      <c r="G82" s="71"/>
      <c r="H82" s="71"/>
      <c r="I82" s="71"/>
      <c r="J82" s="71"/>
    </row>
    <row r="83" spans="4:10">
      <c r="D83" s="71"/>
      <c r="E83" s="71"/>
      <c r="F83" s="71"/>
      <c r="G83" s="71"/>
      <c r="H83" s="71"/>
      <c r="I83" s="71"/>
      <c r="J83" s="71"/>
    </row>
    <row r="84" spans="4:10">
      <c r="D84" s="71"/>
      <c r="E84" s="71"/>
      <c r="F84" s="71"/>
      <c r="G84" s="71"/>
      <c r="H84" s="71"/>
      <c r="I84" s="71"/>
      <c r="J84" s="71"/>
    </row>
    <row r="85" spans="4:10">
      <c r="D85" s="71"/>
      <c r="E85" s="71"/>
      <c r="F85" s="71"/>
      <c r="G85" s="71"/>
      <c r="H85" s="71"/>
      <c r="I85" s="71"/>
      <c r="J85" s="71"/>
    </row>
    <row r="86" spans="4:10">
      <c r="D86" s="71"/>
      <c r="E86" s="71"/>
      <c r="F86" s="71"/>
      <c r="G86" s="71"/>
      <c r="H86" s="71"/>
      <c r="I86" s="71"/>
      <c r="J86" s="71"/>
    </row>
    <row r="87" spans="4:10">
      <c r="D87" s="71"/>
      <c r="E87" s="71"/>
      <c r="F87" s="71"/>
      <c r="G87" s="71"/>
      <c r="H87" s="71"/>
      <c r="I87" s="71"/>
      <c r="J87" s="71"/>
    </row>
    <row r="88" spans="4:10">
      <c r="D88" s="71"/>
      <c r="E88" s="71"/>
      <c r="F88" s="71"/>
      <c r="G88" s="71"/>
      <c r="H88" s="71"/>
      <c r="I88" s="71"/>
      <c r="J88" s="71"/>
    </row>
    <row r="89" spans="4:10">
      <c r="D89" s="71"/>
      <c r="E89" s="71"/>
      <c r="F89" s="71"/>
      <c r="G89" s="71"/>
      <c r="H89" s="71"/>
      <c r="I89" s="71"/>
      <c r="J89" s="71"/>
    </row>
    <row r="90" spans="4:10">
      <c r="D90" s="71"/>
      <c r="E90" s="71"/>
      <c r="F90" s="71"/>
      <c r="G90" s="71"/>
      <c r="H90" s="71"/>
      <c r="I90" s="71"/>
      <c r="J90" s="71"/>
    </row>
    <row r="91" spans="4:10">
      <c r="D91" s="71"/>
      <c r="E91" s="71"/>
      <c r="F91" s="71"/>
      <c r="G91" s="71"/>
      <c r="H91" s="71"/>
      <c r="I91" s="71"/>
      <c r="J91" s="71"/>
    </row>
    <row r="92" spans="4:10">
      <c r="D92" s="71"/>
      <c r="E92" s="71"/>
      <c r="F92" s="71"/>
      <c r="G92" s="71"/>
      <c r="H92" s="71"/>
      <c r="I92" s="71"/>
      <c r="J92" s="71"/>
    </row>
    <row r="93" spans="4:10">
      <c r="D93" s="71"/>
      <c r="E93" s="71"/>
      <c r="F93" s="71"/>
      <c r="G93" s="71"/>
      <c r="H93" s="71"/>
      <c r="I93" s="71"/>
      <c r="J93" s="71"/>
    </row>
    <row r="94" spans="4:10">
      <c r="D94" s="71"/>
      <c r="E94" s="71"/>
      <c r="F94" s="71"/>
      <c r="G94" s="71"/>
      <c r="H94" s="71"/>
      <c r="I94" s="71"/>
      <c r="J94" s="71"/>
    </row>
    <row r="95" spans="4:10">
      <c r="D95" s="71"/>
      <c r="E95" s="71"/>
      <c r="F95" s="71"/>
      <c r="G95" s="71"/>
      <c r="H95" s="71"/>
      <c r="I95" s="71"/>
      <c r="J95" s="71"/>
    </row>
    <row r="96" spans="4:10">
      <c r="D96" s="71"/>
      <c r="E96" s="71"/>
      <c r="F96" s="71"/>
      <c r="G96" s="71"/>
      <c r="H96" s="71"/>
      <c r="I96" s="71"/>
      <c r="J96" s="71"/>
    </row>
    <row r="97" spans="4:10">
      <c r="D97" s="71"/>
      <c r="E97" s="71"/>
      <c r="F97" s="71"/>
      <c r="G97" s="71"/>
      <c r="H97" s="71"/>
      <c r="I97" s="71"/>
      <c r="J97" s="71"/>
    </row>
    <row r="98" spans="4:10">
      <c r="D98" s="71"/>
      <c r="E98" s="71"/>
      <c r="F98" s="71"/>
      <c r="G98" s="71"/>
      <c r="H98" s="71"/>
      <c r="I98" s="71"/>
      <c r="J98" s="71"/>
    </row>
    <row r="99" spans="4:10">
      <c r="D99" s="71"/>
      <c r="E99" s="71"/>
      <c r="F99" s="71"/>
      <c r="G99" s="71"/>
      <c r="H99" s="71"/>
      <c r="I99" s="71"/>
      <c r="J99" s="71"/>
    </row>
    <row r="100" spans="4:10">
      <c r="D100" s="71"/>
      <c r="E100" s="71"/>
      <c r="F100" s="71"/>
      <c r="G100" s="71"/>
      <c r="H100" s="71"/>
      <c r="I100" s="71"/>
      <c r="J100" s="71"/>
    </row>
    <row r="101" spans="4:10">
      <c r="D101" s="71"/>
      <c r="E101" s="71"/>
      <c r="F101" s="71"/>
      <c r="G101" s="71"/>
      <c r="H101" s="71"/>
      <c r="I101" s="71"/>
      <c r="J101" s="71"/>
    </row>
    <row r="102" spans="4:10">
      <c r="D102" s="71"/>
      <c r="E102" s="71"/>
      <c r="F102" s="71"/>
      <c r="G102" s="71"/>
      <c r="H102" s="71"/>
      <c r="I102" s="71"/>
      <c r="J102" s="71"/>
    </row>
    <row r="103" spans="4:10">
      <c r="D103" s="71"/>
      <c r="E103" s="71"/>
      <c r="F103" s="71"/>
      <c r="G103" s="71"/>
      <c r="H103" s="71"/>
      <c r="I103" s="71"/>
      <c r="J103" s="71"/>
    </row>
    <row r="104" spans="4:10">
      <c r="D104" s="71"/>
      <c r="E104" s="71"/>
      <c r="F104" s="71"/>
      <c r="G104" s="71"/>
      <c r="H104" s="71"/>
      <c r="I104" s="71"/>
      <c r="J104" s="71"/>
    </row>
    <row r="105" spans="4:10">
      <c r="D105" s="71"/>
      <c r="E105" s="71"/>
      <c r="F105" s="71"/>
      <c r="G105" s="71"/>
      <c r="H105" s="71"/>
      <c r="I105" s="71"/>
      <c r="J105" s="71"/>
    </row>
    <row r="106" spans="4:10">
      <c r="D106" s="71"/>
      <c r="E106" s="71"/>
      <c r="F106" s="71"/>
      <c r="G106" s="71"/>
      <c r="H106" s="71"/>
      <c r="I106" s="71"/>
      <c r="J106" s="71"/>
    </row>
    <row r="107" spans="4:10">
      <c r="D107" s="71"/>
      <c r="E107" s="71"/>
      <c r="F107" s="71"/>
      <c r="G107" s="71"/>
      <c r="H107" s="71"/>
      <c r="I107" s="71"/>
      <c r="J107" s="71"/>
    </row>
    <row r="108" spans="4:10">
      <c r="D108" s="71"/>
      <c r="E108" s="71"/>
      <c r="F108" s="71"/>
      <c r="G108" s="71"/>
      <c r="H108" s="71"/>
      <c r="I108" s="71"/>
      <c r="J108" s="71"/>
    </row>
    <row r="109" spans="4:10">
      <c r="D109" s="71"/>
      <c r="E109" s="71"/>
      <c r="F109" s="71"/>
      <c r="G109" s="71"/>
      <c r="H109" s="71"/>
      <c r="I109" s="71"/>
      <c r="J109" s="71"/>
    </row>
    <row r="110" spans="4:10">
      <c r="D110" s="71"/>
      <c r="E110" s="71"/>
      <c r="F110" s="71"/>
      <c r="G110" s="71"/>
      <c r="H110" s="71"/>
      <c r="I110" s="71"/>
      <c r="J110" s="71"/>
    </row>
    <row r="111" spans="4:10">
      <c r="D111" s="71"/>
      <c r="E111" s="71"/>
      <c r="F111" s="71"/>
      <c r="G111" s="71"/>
      <c r="H111" s="71"/>
      <c r="I111" s="71"/>
      <c r="J111" s="71"/>
    </row>
    <row r="112" spans="4:10">
      <c r="D112" s="71"/>
      <c r="E112" s="71"/>
      <c r="F112" s="71"/>
      <c r="G112" s="71"/>
      <c r="H112" s="71"/>
      <c r="I112" s="71"/>
      <c r="J112" s="71"/>
    </row>
    <row r="113" spans="4:10">
      <c r="D113" s="71"/>
      <c r="E113" s="71"/>
      <c r="F113" s="71"/>
      <c r="G113" s="71"/>
      <c r="H113" s="71"/>
      <c r="I113" s="71"/>
      <c r="J113" s="71"/>
    </row>
    <row r="114" spans="4:10">
      <c r="D114" s="71"/>
      <c r="E114" s="71"/>
      <c r="F114" s="71"/>
      <c r="G114" s="71"/>
      <c r="H114" s="71"/>
      <c r="I114" s="71"/>
      <c r="J114" s="71"/>
    </row>
    <row r="115" spans="4:10">
      <c r="D115" s="71"/>
      <c r="E115" s="71"/>
      <c r="F115" s="71"/>
      <c r="G115" s="71"/>
      <c r="H115" s="71"/>
      <c r="I115" s="71"/>
      <c r="J115" s="71"/>
    </row>
    <row r="116" spans="4:10">
      <c r="D116" s="71"/>
      <c r="E116" s="71"/>
      <c r="F116" s="71"/>
      <c r="G116" s="71"/>
      <c r="H116" s="71"/>
      <c r="I116" s="71"/>
      <c r="J116" s="71"/>
    </row>
    <row r="117" spans="4:10">
      <c r="D117" s="71"/>
      <c r="E117" s="71"/>
      <c r="F117" s="71"/>
      <c r="G117" s="71"/>
      <c r="H117" s="71"/>
      <c r="I117" s="71"/>
      <c r="J117" s="71"/>
    </row>
    <row r="118" spans="4:10">
      <c r="D118" s="71"/>
      <c r="E118" s="71"/>
      <c r="F118" s="71"/>
      <c r="G118" s="71"/>
      <c r="H118" s="71"/>
      <c r="I118" s="71"/>
      <c r="J118" s="71"/>
    </row>
    <row r="119" spans="4:10">
      <c r="D119" s="71"/>
      <c r="E119" s="71"/>
      <c r="F119" s="71"/>
      <c r="G119" s="71"/>
      <c r="H119" s="71"/>
      <c r="I119" s="71"/>
      <c r="J119" s="71"/>
    </row>
    <row r="120" spans="4:10">
      <c r="D120" s="71"/>
      <c r="E120" s="71"/>
      <c r="F120" s="71"/>
      <c r="G120" s="71"/>
      <c r="H120" s="71"/>
      <c r="I120" s="71"/>
      <c r="J120" s="71"/>
    </row>
    <row r="121" spans="4:10">
      <c r="D121" s="71"/>
      <c r="E121" s="71"/>
      <c r="F121" s="71"/>
      <c r="G121" s="71"/>
      <c r="H121" s="71"/>
      <c r="I121" s="71"/>
      <c r="J121" s="71"/>
    </row>
    <row r="122" spans="4:10">
      <c r="D122" s="71"/>
      <c r="E122" s="71"/>
      <c r="F122" s="71"/>
      <c r="G122" s="71"/>
      <c r="H122" s="71"/>
      <c r="I122" s="71"/>
      <c r="J122" s="71"/>
    </row>
    <row r="123" spans="4:10">
      <c r="D123" s="71"/>
      <c r="E123" s="71"/>
      <c r="F123" s="71"/>
      <c r="G123" s="71"/>
      <c r="H123" s="71"/>
      <c r="I123" s="71"/>
      <c r="J123" s="71"/>
    </row>
    <row r="124" spans="4:10">
      <c r="D124" s="71"/>
      <c r="E124" s="71"/>
      <c r="F124" s="71"/>
      <c r="G124" s="71"/>
      <c r="H124" s="71"/>
      <c r="I124" s="71"/>
      <c r="J124" s="71"/>
    </row>
    <row r="125" spans="4:10">
      <c r="D125" s="71"/>
      <c r="E125" s="71"/>
      <c r="F125" s="71"/>
      <c r="G125" s="71"/>
      <c r="H125" s="71"/>
      <c r="I125" s="71"/>
      <c r="J125" s="71"/>
    </row>
    <row r="126" spans="4:10">
      <c r="D126" s="71"/>
      <c r="E126" s="71"/>
      <c r="F126" s="71"/>
      <c r="G126" s="71"/>
      <c r="H126" s="71"/>
      <c r="I126" s="71"/>
      <c r="J126" s="71"/>
    </row>
    <row r="127" spans="4:10">
      <c r="D127" s="71"/>
      <c r="E127" s="71"/>
      <c r="F127" s="71"/>
      <c r="G127" s="71"/>
      <c r="H127" s="71"/>
      <c r="I127" s="71"/>
      <c r="J127" s="71"/>
    </row>
    <row r="128" spans="4:10">
      <c r="D128" s="71"/>
      <c r="E128" s="71"/>
      <c r="F128" s="71"/>
      <c r="G128" s="71"/>
      <c r="H128" s="71"/>
      <c r="I128" s="71"/>
      <c r="J128" s="71"/>
    </row>
    <row r="129" spans="4:10">
      <c r="D129" s="71"/>
      <c r="E129" s="71"/>
      <c r="F129" s="71"/>
      <c r="G129" s="71"/>
      <c r="H129" s="71"/>
      <c r="I129" s="71"/>
      <c r="J129" s="71"/>
    </row>
    <row r="130" spans="4:10">
      <c r="D130" s="71"/>
      <c r="E130" s="71"/>
      <c r="F130" s="71"/>
      <c r="G130" s="71"/>
      <c r="H130" s="71"/>
      <c r="I130" s="71"/>
      <c r="J130" s="71"/>
    </row>
    <row r="131" spans="4:10">
      <c r="D131" s="71"/>
      <c r="E131" s="71"/>
      <c r="F131" s="71"/>
      <c r="G131" s="71"/>
      <c r="H131" s="71"/>
      <c r="I131" s="71"/>
      <c r="J131" s="71"/>
    </row>
    <row r="132" spans="4:10">
      <c r="D132" s="71"/>
      <c r="E132" s="71"/>
      <c r="F132" s="71"/>
      <c r="G132" s="71"/>
      <c r="H132" s="71"/>
      <c r="I132" s="71"/>
      <c r="J132" s="71"/>
    </row>
    <row r="133" spans="4:10">
      <c r="D133" s="71"/>
      <c r="E133" s="71"/>
      <c r="F133" s="71"/>
      <c r="G133" s="71"/>
      <c r="H133" s="71"/>
      <c r="I133" s="71"/>
      <c r="J133" s="71"/>
    </row>
    <row r="134" spans="4:10">
      <c r="D134" s="71"/>
      <c r="E134" s="71"/>
      <c r="F134" s="71"/>
      <c r="G134" s="71"/>
      <c r="H134" s="71"/>
      <c r="I134" s="71"/>
      <c r="J134" s="71"/>
    </row>
    <row r="135" spans="4:10">
      <c r="D135" s="71"/>
      <c r="E135" s="71"/>
      <c r="F135" s="71"/>
      <c r="G135" s="71"/>
      <c r="H135" s="71"/>
      <c r="I135" s="71"/>
      <c r="J135" s="71"/>
    </row>
    <row r="136" spans="4:10">
      <c r="D136" s="71"/>
      <c r="E136" s="71"/>
      <c r="F136" s="71"/>
      <c r="G136" s="71"/>
      <c r="H136" s="71"/>
      <c r="I136" s="71"/>
      <c r="J136" s="71"/>
    </row>
    <row r="137" spans="4:10">
      <c r="D137" s="71"/>
      <c r="E137" s="71"/>
      <c r="F137" s="71"/>
      <c r="G137" s="71"/>
      <c r="H137" s="71"/>
      <c r="I137" s="71"/>
      <c r="J137" s="71"/>
    </row>
    <row r="138" spans="4:10">
      <c r="D138" s="71"/>
      <c r="E138" s="71"/>
      <c r="F138" s="71"/>
      <c r="G138" s="71"/>
      <c r="H138" s="71"/>
      <c r="I138" s="71"/>
      <c r="J138" s="71"/>
    </row>
    <row r="139" spans="4:10">
      <c r="D139" s="71"/>
      <c r="E139" s="71"/>
      <c r="F139" s="71"/>
      <c r="G139" s="71"/>
      <c r="H139" s="71"/>
      <c r="I139" s="71"/>
      <c r="J139" s="71"/>
    </row>
    <row r="140" spans="4:10">
      <c r="D140" s="71"/>
      <c r="E140" s="71"/>
      <c r="F140" s="71"/>
      <c r="G140" s="71"/>
      <c r="H140" s="71"/>
      <c r="I140" s="71"/>
      <c r="J140" s="71"/>
    </row>
    <row r="141" spans="4:10">
      <c r="D141" s="71"/>
      <c r="E141" s="71"/>
      <c r="F141" s="71"/>
      <c r="G141" s="71"/>
      <c r="H141" s="71"/>
      <c r="I141" s="71"/>
      <c r="J141" s="71"/>
    </row>
    <row r="142" spans="4:10">
      <c r="D142" s="71"/>
      <c r="E142" s="71"/>
      <c r="F142" s="71"/>
      <c r="G142" s="71"/>
      <c r="H142" s="71"/>
      <c r="I142" s="71"/>
      <c r="J142" s="71"/>
    </row>
    <row r="143" spans="4:10">
      <c r="D143" s="71"/>
      <c r="E143" s="71"/>
      <c r="F143" s="71"/>
      <c r="G143" s="71"/>
      <c r="H143" s="71"/>
      <c r="I143" s="71"/>
      <c r="J143" s="71"/>
    </row>
    <row r="144" spans="4:10">
      <c r="D144" s="71"/>
      <c r="E144" s="71"/>
      <c r="F144" s="71"/>
      <c r="G144" s="71"/>
      <c r="H144" s="71"/>
      <c r="I144" s="71"/>
      <c r="J144" s="71"/>
    </row>
    <row r="145" spans="4:10">
      <c r="D145" s="71"/>
      <c r="E145" s="71"/>
      <c r="F145" s="71"/>
      <c r="G145" s="71"/>
      <c r="H145" s="71"/>
      <c r="I145" s="71"/>
      <c r="J145" s="71"/>
    </row>
    <row r="146" spans="4:10">
      <c r="D146" s="71"/>
      <c r="E146" s="71"/>
      <c r="F146" s="71"/>
      <c r="G146" s="71"/>
      <c r="H146" s="71"/>
      <c r="I146" s="71"/>
      <c r="J146" s="71"/>
    </row>
    <row r="147" spans="4:10">
      <c r="D147" s="71"/>
      <c r="E147" s="71"/>
      <c r="F147" s="71"/>
      <c r="G147" s="71"/>
      <c r="H147" s="71"/>
      <c r="I147" s="71"/>
      <c r="J147" s="71"/>
    </row>
    <row r="148" spans="4:10">
      <c r="D148" s="71"/>
      <c r="E148" s="71"/>
      <c r="F148" s="71"/>
      <c r="G148" s="71"/>
      <c r="H148" s="71"/>
      <c r="I148" s="71"/>
      <c r="J148" s="71"/>
    </row>
    <row r="149" spans="4:10">
      <c r="D149" s="71"/>
      <c r="E149" s="71"/>
      <c r="F149" s="71"/>
      <c r="G149" s="71"/>
      <c r="H149" s="71"/>
      <c r="I149" s="71"/>
      <c r="J149" s="71"/>
    </row>
    <row r="150" spans="4:10">
      <c r="D150" s="71"/>
      <c r="E150" s="71"/>
      <c r="F150" s="71"/>
      <c r="G150" s="71"/>
      <c r="H150" s="71"/>
      <c r="I150" s="71"/>
      <c r="J150" s="71"/>
    </row>
    <row r="151" spans="4:10">
      <c r="D151" s="71"/>
      <c r="E151" s="71"/>
      <c r="F151" s="71"/>
      <c r="G151" s="71"/>
      <c r="H151" s="71"/>
      <c r="I151" s="71"/>
      <c r="J151" s="71"/>
    </row>
    <row r="152" spans="4:10">
      <c r="D152" s="71"/>
      <c r="E152" s="71"/>
      <c r="F152" s="71"/>
      <c r="G152" s="71"/>
      <c r="H152" s="71"/>
      <c r="I152" s="71"/>
      <c r="J152" s="71"/>
    </row>
    <row r="153" spans="4:10">
      <c r="D153" s="71"/>
      <c r="E153" s="71"/>
      <c r="F153" s="71"/>
      <c r="G153" s="71"/>
      <c r="H153" s="71"/>
      <c r="I153" s="71"/>
      <c r="J153" s="71"/>
    </row>
    <row r="154" spans="4:10">
      <c r="D154" s="71"/>
      <c r="E154" s="71"/>
      <c r="F154" s="71"/>
      <c r="G154" s="71"/>
      <c r="H154" s="71"/>
      <c r="I154" s="71"/>
      <c r="J154" s="71"/>
    </row>
    <row r="155" spans="4:10">
      <c r="D155" s="71"/>
      <c r="E155" s="71"/>
      <c r="F155" s="71"/>
      <c r="G155" s="71"/>
      <c r="H155" s="71"/>
      <c r="I155" s="71"/>
      <c r="J155" s="71"/>
    </row>
    <row r="156" spans="4:10">
      <c r="D156" s="71"/>
      <c r="E156" s="71"/>
      <c r="F156" s="71"/>
      <c r="G156" s="71"/>
      <c r="H156" s="71"/>
      <c r="I156" s="71"/>
      <c r="J156" s="71"/>
    </row>
    <row r="157" spans="4:10">
      <c r="D157" s="71"/>
      <c r="E157" s="71"/>
      <c r="F157" s="71"/>
      <c r="G157" s="71"/>
      <c r="H157" s="71"/>
      <c r="I157" s="71"/>
      <c r="J157" s="71"/>
    </row>
    <row r="158" spans="4:10">
      <c r="D158" s="71"/>
      <c r="E158" s="71"/>
      <c r="F158" s="71"/>
      <c r="G158" s="71"/>
      <c r="H158" s="71"/>
      <c r="I158" s="71"/>
      <c r="J158" s="71"/>
    </row>
    <row r="159" spans="4:10">
      <c r="D159" s="71"/>
      <c r="E159" s="71"/>
      <c r="F159" s="71"/>
      <c r="G159" s="71"/>
      <c r="H159" s="71"/>
      <c r="I159" s="71"/>
      <c r="J159" s="71"/>
    </row>
    <row r="160" spans="4:10">
      <c r="D160" s="71"/>
      <c r="E160" s="71"/>
      <c r="F160" s="71"/>
      <c r="G160" s="71"/>
      <c r="H160" s="71"/>
      <c r="I160" s="71"/>
      <c r="J160" s="71"/>
    </row>
    <row r="161" spans="4:10">
      <c r="D161" s="71"/>
      <c r="E161" s="71"/>
      <c r="F161" s="71"/>
      <c r="G161" s="71"/>
      <c r="H161" s="71"/>
      <c r="I161" s="71"/>
      <c r="J161" s="71"/>
    </row>
    <row r="162" spans="4:10">
      <c r="D162" s="71"/>
      <c r="E162" s="71"/>
      <c r="F162" s="71"/>
      <c r="G162" s="71"/>
      <c r="H162" s="71"/>
      <c r="I162" s="71"/>
      <c r="J162" s="71"/>
    </row>
    <row r="163" spans="4:10">
      <c r="D163" s="71"/>
      <c r="E163" s="71"/>
      <c r="F163" s="71"/>
      <c r="G163" s="71"/>
      <c r="H163" s="71"/>
      <c r="I163" s="71"/>
      <c r="J163" s="71"/>
    </row>
    <row r="164" spans="4:10">
      <c r="D164" s="71"/>
      <c r="E164" s="71"/>
      <c r="F164" s="71"/>
      <c r="G164" s="71"/>
      <c r="H164" s="71"/>
      <c r="I164" s="71"/>
      <c r="J164" s="71"/>
    </row>
    <row r="165" spans="4:10">
      <c r="D165" s="71"/>
      <c r="E165" s="71"/>
      <c r="F165" s="71"/>
      <c r="G165" s="71"/>
      <c r="H165" s="71"/>
      <c r="I165" s="71"/>
      <c r="J165" s="71"/>
    </row>
    <row r="166" spans="4:10">
      <c r="D166" s="71"/>
      <c r="E166" s="71"/>
      <c r="F166" s="71"/>
      <c r="G166" s="71"/>
      <c r="H166" s="71"/>
      <c r="I166" s="71"/>
      <c r="J166" s="71"/>
    </row>
    <row r="167" spans="4:10">
      <c r="D167" s="71"/>
      <c r="E167" s="71"/>
      <c r="F167" s="71"/>
      <c r="G167" s="71"/>
      <c r="H167" s="71"/>
      <c r="I167" s="71"/>
      <c r="J167" s="71"/>
    </row>
    <row r="168" spans="4:10">
      <c r="D168" s="71"/>
      <c r="E168" s="71"/>
      <c r="F168" s="71"/>
      <c r="G168" s="71"/>
      <c r="H168" s="71"/>
      <c r="I168" s="71"/>
      <c r="J168" s="71"/>
    </row>
    <row r="169" spans="4:10">
      <c r="D169" s="71"/>
      <c r="E169" s="71"/>
      <c r="F169" s="71"/>
      <c r="G169" s="71"/>
      <c r="H169" s="71"/>
      <c r="I169" s="71"/>
      <c r="J169" s="71"/>
    </row>
    <row r="170" spans="4:10">
      <c r="D170" s="71"/>
      <c r="E170" s="71"/>
      <c r="F170" s="71"/>
      <c r="G170" s="71"/>
      <c r="H170" s="71"/>
      <c r="I170" s="71"/>
      <c r="J170" s="71"/>
    </row>
    <row r="171" spans="4:10">
      <c r="D171" s="71"/>
      <c r="E171" s="71"/>
      <c r="F171" s="71"/>
      <c r="G171" s="71"/>
      <c r="H171" s="71"/>
      <c r="I171" s="71"/>
      <c r="J171" s="71"/>
    </row>
    <row r="172" spans="4:10">
      <c r="D172" s="71"/>
      <c r="E172" s="71"/>
      <c r="F172" s="71"/>
      <c r="G172" s="71"/>
      <c r="H172" s="71"/>
      <c r="I172" s="71"/>
      <c r="J172" s="71"/>
    </row>
    <row r="173" spans="4:10">
      <c r="D173" s="71"/>
      <c r="E173" s="71"/>
      <c r="F173" s="71"/>
      <c r="G173" s="71"/>
      <c r="H173" s="71"/>
      <c r="I173" s="71"/>
      <c r="J173" s="71"/>
    </row>
    <row r="174" spans="4:10">
      <c r="D174" s="71"/>
      <c r="E174" s="71"/>
      <c r="F174" s="71"/>
      <c r="G174" s="71"/>
      <c r="H174" s="71"/>
      <c r="I174" s="71"/>
      <c r="J174" s="71"/>
    </row>
    <row r="175" spans="4:10">
      <c r="D175" s="71"/>
      <c r="E175" s="71"/>
      <c r="F175" s="71"/>
      <c r="G175" s="71"/>
      <c r="H175" s="71"/>
      <c r="I175" s="71"/>
      <c r="J175" s="71"/>
    </row>
    <row r="176" spans="4:10">
      <c r="D176" s="71"/>
      <c r="E176" s="71"/>
      <c r="F176" s="71"/>
      <c r="G176" s="71"/>
      <c r="H176" s="71"/>
      <c r="I176" s="71"/>
      <c r="J176" s="71"/>
    </row>
    <row r="177" spans="4:10">
      <c r="D177" s="71"/>
      <c r="E177" s="71"/>
      <c r="F177" s="71"/>
      <c r="G177" s="71"/>
      <c r="H177" s="71"/>
      <c r="I177" s="71"/>
      <c r="J177" s="71"/>
    </row>
    <row r="178" spans="4:10">
      <c r="D178" s="71"/>
      <c r="E178" s="71"/>
      <c r="F178" s="71"/>
      <c r="G178" s="71"/>
      <c r="H178" s="71"/>
      <c r="I178" s="71"/>
      <c r="J178" s="71"/>
    </row>
    <row r="179" spans="4:10">
      <c r="D179" s="71"/>
      <c r="E179" s="71"/>
      <c r="F179" s="71"/>
      <c r="G179" s="71"/>
      <c r="H179" s="71"/>
      <c r="I179" s="71"/>
      <c r="J179" s="71"/>
    </row>
    <row r="180" spans="4:10">
      <c r="D180" s="71"/>
      <c r="E180" s="71"/>
      <c r="F180" s="71"/>
      <c r="G180" s="71"/>
      <c r="H180" s="71"/>
      <c r="I180" s="71"/>
      <c r="J180" s="71"/>
    </row>
    <row r="181" spans="4:10">
      <c r="D181" s="71"/>
      <c r="E181" s="71"/>
      <c r="F181" s="71"/>
      <c r="G181" s="71"/>
      <c r="H181" s="71"/>
      <c r="I181" s="71"/>
      <c r="J181" s="71"/>
    </row>
    <row r="182" spans="4:10">
      <c r="D182" s="71"/>
      <c r="E182" s="71"/>
      <c r="F182" s="71"/>
      <c r="G182" s="71"/>
      <c r="H182" s="71"/>
      <c r="I182" s="71"/>
      <c r="J182" s="71"/>
    </row>
    <row r="183" spans="4:10">
      <c r="D183" s="71"/>
      <c r="E183" s="71"/>
      <c r="F183" s="71"/>
      <c r="G183" s="71"/>
      <c r="H183" s="71"/>
      <c r="I183" s="71"/>
      <c r="J183" s="71"/>
    </row>
    <row r="184" spans="4:10">
      <c r="D184" s="71"/>
      <c r="E184" s="71"/>
      <c r="F184" s="71"/>
      <c r="G184" s="71"/>
      <c r="H184" s="71"/>
      <c r="I184" s="71"/>
      <c r="J184" s="71"/>
    </row>
    <row r="185" spans="4:10">
      <c r="D185" s="71"/>
      <c r="E185" s="71"/>
      <c r="F185" s="71"/>
      <c r="G185" s="71"/>
      <c r="H185" s="71"/>
      <c r="I185" s="71"/>
      <c r="J185" s="71"/>
    </row>
    <row r="186" spans="4:10">
      <c r="D186" s="71"/>
      <c r="E186" s="71"/>
      <c r="F186" s="71"/>
      <c r="G186" s="71"/>
      <c r="H186" s="71"/>
      <c r="I186" s="71"/>
      <c r="J186" s="71"/>
    </row>
    <row r="187" spans="4:10">
      <c r="D187" s="71"/>
      <c r="E187" s="71"/>
      <c r="F187" s="71"/>
      <c r="G187" s="71"/>
      <c r="H187" s="71"/>
      <c r="I187" s="71"/>
      <c r="J187" s="71"/>
    </row>
    <row r="188" spans="4:10">
      <c r="D188" s="71"/>
      <c r="E188" s="71"/>
      <c r="F188" s="71"/>
      <c r="G188" s="71"/>
      <c r="H188" s="71"/>
      <c r="I188" s="71"/>
      <c r="J188" s="71"/>
    </row>
    <row r="189" spans="4:10">
      <c r="D189" s="71"/>
      <c r="E189" s="71"/>
      <c r="F189" s="71"/>
      <c r="G189" s="71"/>
      <c r="H189" s="71"/>
      <c r="I189" s="71"/>
      <c r="J189" s="71"/>
    </row>
    <row r="190" spans="4:10">
      <c r="D190" s="71"/>
      <c r="E190" s="71"/>
      <c r="F190" s="71"/>
      <c r="G190" s="71"/>
      <c r="H190" s="71"/>
      <c r="I190" s="71"/>
      <c r="J190" s="71"/>
    </row>
    <row r="191" spans="4:10">
      <c r="D191" s="71"/>
      <c r="E191" s="71"/>
      <c r="F191" s="71"/>
      <c r="G191" s="71"/>
      <c r="H191" s="71"/>
      <c r="I191" s="71"/>
      <c r="J191" s="71"/>
    </row>
    <row r="192" spans="4:10">
      <c r="D192" s="71"/>
      <c r="E192" s="71"/>
      <c r="F192" s="71"/>
      <c r="G192" s="71"/>
      <c r="H192" s="71"/>
      <c r="I192" s="71"/>
      <c r="J192" s="71"/>
    </row>
    <row r="193" spans="4:10">
      <c r="D193" s="71"/>
      <c r="E193" s="71"/>
      <c r="F193" s="71"/>
      <c r="G193" s="71"/>
      <c r="H193" s="71"/>
      <c r="I193" s="71"/>
      <c r="J193" s="71"/>
    </row>
    <row r="194" spans="4:10">
      <c r="D194" s="71"/>
      <c r="E194" s="71"/>
      <c r="F194" s="71"/>
      <c r="G194" s="71"/>
      <c r="H194" s="71"/>
      <c r="I194" s="71"/>
      <c r="J194" s="71"/>
    </row>
    <row r="195" spans="4:10">
      <c r="D195" s="71"/>
      <c r="E195" s="71"/>
      <c r="F195" s="71"/>
      <c r="G195" s="71"/>
      <c r="H195" s="71"/>
      <c r="I195" s="71"/>
      <c r="J195" s="71"/>
    </row>
    <row r="196" spans="4:10">
      <c r="D196" s="71"/>
      <c r="E196" s="71"/>
      <c r="F196" s="71"/>
      <c r="G196" s="71"/>
      <c r="H196" s="71"/>
      <c r="I196" s="71"/>
      <c r="J196" s="71"/>
    </row>
    <row r="197" spans="4:10">
      <c r="D197" s="71"/>
      <c r="E197" s="71"/>
      <c r="F197" s="71"/>
      <c r="G197" s="71"/>
      <c r="H197" s="71"/>
      <c r="I197" s="71"/>
      <c r="J197" s="71"/>
    </row>
    <row r="198" spans="4:10">
      <c r="D198" s="71"/>
      <c r="E198" s="71"/>
      <c r="F198" s="71"/>
      <c r="G198" s="71"/>
      <c r="H198" s="71"/>
      <c r="I198" s="71"/>
      <c r="J198" s="71"/>
    </row>
    <row r="199" spans="4:10">
      <c r="D199" s="71"/>
      <c r="E199" s="71"/>
      <c r="F199" s="71"/>
      <c r="G199" s="71"/>
      <c r="H199" s="71"/>
      <c r="I199" s="71"/>
      <c r="J199" s="71"/>
    </row>
    <row r="200" spans="4:10">
      <c r="D200" s="71"/>
      <c r="E200" s="71"/>
      <c r="F200" s="71"/>
      <c r="G200" s="71"/>
      <c r="H200" s="71"/>
      <c r="I200" s="71"/>
      <c r="J200" s="71"/>
    </row>
    <row r="201" spans="4:10">
      <c r="D201" s="71"/>
      <c r="E201" s="71"/>
      <c r="F201" s="71"/>
      <c r="G201" s="71"/>
      <c r="H201" s="71"/>
      <c r="I201" s="71"/>
      <c r="J201" s="71"/>
    </row>
    <row r="202" spans="4:10">
      <c r="D202" s="71"/>
      <c r="E202" s="71"/>
      <c r="F202" s="71"/>
      <c r="G202" s="71"/>
      <c r="H202" s="71"/>
      <c r="I202" s="71"/>
      <c r="J202" s="71"/>
    </row>
    <row r="203" spans="4:10">
      <c r="D203" s="71"/>
      <c r="E203" s="71"/>
      <c r="F203" s="71"/>
      <c r="G203" s="71"/>
      <c r="H203" s="71"/>
      <c r="I203" s="71"/>
      <c r="J203" s="71"/>
    </row>
    <row r="204" spans="4:10">
      <c r="D204" s="71"/>
      <c r="E204" s="71"/>
      <c r="F204" s="71"/>
      <c r="G204" s="71"/>
      <c r="H204" s="71"/>
      <c r="I204" s="71"/>
      <c r="J204" s="71"/>
    </row>
    <row r="205" spans="4:10">
      <c r="D205" s="71"/>
      <c r="E205" s="71"/>
      <c r="F205" s="71"/>
      <c r="G205" s="71"/>
      <c r="H205" s="71"/>
      <c r="I205" s="71"/>
      <c r="J205" s="71"/>
    </row>
    <row r="206" spans="4:10">
      <c r="D206" s="71"/>
      <c r="E206" s="71"/>
      <c r="F206" s="71"/>
      <c r="G206" s="71"/>
      <c r="H206" s="71"/>
      <c r="I206" s="71"/>
      <c r="J206" s="71"/>
    </row>
    <row r="207" spans="4:10">
      <c r="D207" s="71"/>
      <c r="E207" s="71"/>
      <c r="F207" s="71"/>
      <c r="G207" s="71"/>
      <c r="H207" s="71"/>
      <c r="I207" s="71"/>
      <c r="J207" s="71"/>
    </row>
    <row r="208" spans="4:10">
      <c r="D208" s="71"/>
      <c r="E208" s="71"/>
      <c r="F208" s="71"/>
      <c r="G208" s="71"/>
      <c r="H208" s="71"/>
      <c r="I208" s="71"/>
      <c r="J208" s="71"/>
    </row>
    <row r="209" spans="4:10">
      <c r="D209" s="71"/>
      <c r="E209" s="71"/>
      <c r="F209" s="71"/>
      <c r="G209" s="71"/>
      <c r="H209" s="71"/>
      <c r="I209" s="71"/>
      <c r="J209" s="71"/>
    </row>
    <row r="210" spans="4:10">
      <c r="D210" s="71"/>
      <c r="E210" s="71"/>
      <c r="F210" s="71"/>
      <c r="G210" s="71"/>
      <c r="H210" s="71"/>
      <c r="I210" s="71"/>
      <c r="J210" s="71"/>
    </row>
    <row r="211" spans="4:10">
      <c r="D211" s="71"/>
      <c r="E211" s="71"/>
      <c r="F211" s="71"/>
      <c r="G211" s="71"/>
      <c r="H211" s="71"/>
      <c r="I211" s="71"/>
      <c r="J211" s="71"/>
    </row>
    <row r="212" spans="4:10">
      <c r="D212" s="71"/>
      <c r="E212" s="71"/>
      <c r="F212" s="71"/>
      <c r="G212" s="71"/>
      <c r="H212" s="71"/>
      <c r="I212" s="71"/>
      <c r="J212" s="71"/>
    </row>
    <row r="213" spans="4:10">
      <c r="D213" s="71"/>
      <c r="E213" s="71"/>
      <c r="F213" s="71"/>
      <c r="G213" s="71"/>
      <c r="H213" s="71"/>
      <c r="I213" s="71"/>
      <c r="J213" s="71"/>
    </row>
    <row r="214" spans="4:10">
      <c r="D214" s="71"/>
      <c r="E214" s="71"/>
      <c r="F214" s="71"/>
      <c r="G214" s="71"/>
      <c r="H214" s="71"/>
      <c r="I214" s="71"/>
      <c r="J214" s="71"/>
    </row>
    <row r="215" spans="4:10">
      <c r="D215" s="71"/>
      <c r="E215" s="71"/>
      <c r="F215" s="71"/>
      <c r="G215" s="71"/>
      <c r="H215" s="71"/>
      <c r="I215" s="71"/>
      <c r="J215" s="71"/>
    </row>
    <row r="216" spans="4:10">
      <c r="D216" s="71"/>
      <c r="E216" s="71"/>
      <c r="F216" s="71"/>
      <c r="G216" s="71"/>
      <c r="H216" s="71"/>
      <c r="I216" s="71"/>
      <c r="J216" s="71"/>
    </row>
    <row r="217" spans="4:10">
      <c r="D217" s="71"/>
      <c r="E217" s="71"/>
      <c r="F217" s="71"/>
      <c r="G217" s="71"/>
      <c r="H217" s="71"/>
      <c r="I217" s="71"/>
      <c r="J217" s="71"/>
    </row>
    <row r="218" spans="4:10">
      <c r="D218" s="71"/>
      <c r="E218" s="71"/>
      <c r="F218" s="71"/>
      <c r="G218" s="71"/>
      <c r="H218" s="71"/>
      <c r="I218" s="71"/>
      <c r="J218" s="71"/>
    </row>
    <row r="219" spans="4:10">
      <c r="D219" s="71"/>
      <c r="E219" s="71"/>
      <c r="F219" s="71"/>
      <c r="G219" s="71"/>
      <c r="H219" s="71"/>
      <c r="I219" s="71"/>
      <c r="J219" s="71"/>
    </row>
    <row r="220" spans="4:10">
      <c r="D220" s="71"/>
      <c r="E220" s="71"/>
      <c r="F220" s="71"/>
      <c r="G220" s="71"/>
      <c r="H220" s="71"/>
      <c r="I220" s="71"/>
      <c r="J220" s="71"/>
    </row>
    <row r="221" spans="4:10">
      <c r="D221" s="71"/>
      <c r="E221" s="71"/>
      <c r="F221" s="71"/>
      <c r="G221" s="71"/>
      <c r="H221" s="71"/>
      <c r="I221" s="71"/>
      <c r="J221" s="71"/>
    </row>
    <row r="222" spans="4:10">
      <c r="D222" s="71"/>
      <c r="E222" s="71"/>
      <c r="F222" s="71"/>
      <c r="G222" s="71"/>
      <c r="H222" s="71"/>
      <c r="I222" s="71"/>
      <c r="J222" s="71"/>
    </row>
    <row r="223" spans="4:10">
      <c r="D223" s="71"/>
      <c r="E223" s="71"/>
      <c r="F223" s="71"/>
      <c r="G223" s="71"/>
      <c r="H223" s="71"/>
      <c r="I223" s="71"/>
      <c r="J223" s="71"/>
    </row>
    <row r="224" spans="4:10">
      <c r="D224" s="71"/>
      <c r="E224" s="71"/>
      <c r="F224" s="71"/>
      <c r="G224" s="71"/>
      <c r="H224" s="71"/>
      <c r="I224" s="71"/>
      <c r="J224" s="71"/>
    </row>
    <row r="225" spans="4:10">
      <c r="D225" s="71"/>
      <c r="E225" s="71"/>
      <c r="F225" s="71"/>
      <c r="G225" s="71"/>
      <c r="H225" s="71"/>
      <c r="I225" s="71"/>
      <c r="J225" s="71"/>
    </row>
    <row r="226" spans="4:10">
      <c r="D226" s="71"/>
      <c r="E226" s="71"/>
      <c r="F226" s="71"/>
      <c r="G226" s="71"/>
      <c r="H226" s="71"/>
      <c r="I226" s="71"/>
      <c r="J226" s="71"/>
    </row>
    <row r="227" spans="4:10">
      <c r="D227" s="71"/>
      <c r="E227" s="71"/>
      <c r="F227" s="71"/>
      <c r="G227" s="71"/>
      <c r="H227" s="71"/>
      <c r="I227" s="71"/>
      <c r="J227" s="71"/>
    </row>
    <row r="228" spans="4:10">
      <c r="D228" s="71"/>
      <c r="E228" s="71"/>
      <c r="F228" s="71"/>
      <c r="G228" s="71"/>
      <c r="H228" s="71"/>
      <c r="I228" s="71"/>
      <c r="J228" s="71"/>
    </row>
    <row r="229" spans="4:10">
      <c r="D229" s="71"/>
      <c r="E229" s="71"/>
      <c r="F229" s="71"/>
      <c r="G229" s="71"/>
      <c r="H229" s="71"/>
      <c r="I229" s="71"/>
      <c r="J229" s="71"/>
    </row>
    <row r="230" spans="4:10">
      <c r="D230" s="71"/>
      <c r="E230" s="71"/>
      <c r="F230" s="71"/>
      <c r="G230" s="71"/>
      <c r="H230" s="71"/>
      <c r="I230" s="71"/>
      <c r="J230" s="71"/>
    </row>
    <row r="231" spans="4:10">
      <c r="D231" s="71"/>
      <c r="E231" s="71"/>
      <c r="F231" s="71"/>
      <c r="G231" s="71"/>
      <c r="H231" s="71"/>
      <c r="I231" s="71"/>
      <c r="J231" s="71"/>
    </row>
    <row r="232" spans="4:10">
      <c r="D232" s="71"/>
      <c r="E232" s="71"/>
      <c r="F232" s="71"/>
      <c r="G232" s="71"/>
      <c r="H232" s="71"/>
      <c r="I232" s="71"/>
      <c r="J232" s="71"/>
    </row>
    <row r="233" spans="4:10">
      <c r="D233" s="71"/>
      <c r="E233" s="71"/>
      <c r="F233" s="71"/>
      <c r="G233" s="71"/>
      <c r="H233" s="71"/>
      <c r="I233" s="71"/>
      <c r="J233" s="71"/>
    </row>
    <row r="234" spans="4:10">
      <c r="D234" s="71"/>
      <c r="E234" s="71"/>
      <c r="F234" s="71"/>
      <c r="G234" s="71"/>
      <c r="H234" s="71"/>
      <c r="I234" s="71"/>
      <c r="J234" s="71"/>
    </row>
    <row r="235" spans="4:10">
      <c r="D235" s="71"/>
      <c r="E235" s="71"/>
      <c r="F235" s="71"/>
      <c r="G235" s="71"/>
      <c r="H235" s="71"/>
      <c r="I235" s="71"/>
      <c r="J235" s="71"/>
    </row>
    <row r="236" spans="4:10">
      <c r="D236" s="71"/>
      <c r="E236" s="71"/>
      <c r="F236" s="71"/>
      <c r="G236" s="71"/>
      <c r="H236" s="71"/>
      <c r="I236" s="71"/>
      <c r="J236" s="71"/>
    </row>
    <row r="237" spans="4:10">
      <c r="D237" s="71"/>
      <c r="E237" s="71"/>
      <c r="F237" s="71"/>
      <c r="G237" s="71"/>
      <c r="H237" s="71"/>
      <c r="I237" s="71"/>
      <c r="J237" s="71"/>
    </row>
    <row r="238" spans="4:10">
      <c r="D238" s="71"/>
      <c r="E238" s="71"/>
      <c r="F238" s="71"/>
      <c r="G238" s="71"/>
      <c r="H238" s="71"/>
      <c r="I238" s="71"/>
      <c r="J238" s="71"/>
    </row>
    <row r="239" spans="4:10">
      <c r="D239" s="71"/>
      <c r="E239" s="71"/>
      <c r="F239" s="71"/>
      <c r="G239" s="71"/>
      <c r="H239" s="71"/>
      <c r="I239" s="71"/>
      <c r="J239" s="71"/>
    </row>
    <row r="240" spans="4:10">
      <c r="D240" s="71"/>
      <c r="E240" s="71"/>
      <c r="F240" s="71"/>
      <c r="G240" s="71"/>
      <c r="H240" s="71"/>
      <c r="I240" s="71"/>
      <c r="J240" s="71"/>
    </row>
    <row r="241" spans="4:10">
      <c r="D241" s="71"/>
      <c r="E241" s="71"/>
      <c r="F241" s="71"/>
      <c r="G241" s="71"/>
      <c r="H241" s="71"/>
      <c r="I241" s="71"/>
      <c r="J241" s="71"/>
    </row>
    <row r="242" spans="4:10">
      <c r="D242" s="71"/>
      <c r="E242" s="71"/>
      <c r="F242" s="71"/>
      <c r="G242" s="71"/>
      <c r="H242" s="71"/>
      <c r="I242" s="71"/>
      <c r="J242" s="71"/>
    </row>
    <row r="243" spans="4:10">
      <c r="D243" s="71"/>
      <c r="E243" s="71"/>
      <c r="F243" s="71"/>
      <c r="G243" s="71"/>
      <c r="H243" s="71"/>
      <c r="I243" s="71"/>
      <c r="J243" s="71"/>
    </row>
    <row r="244" spans="4:10">
      <c r="D244" s="71"/>
      <c r="E244" s="71"/>
      <c r="F244" s="71"/>
      <c r="G244" s="71"/>
      <c r="H244" s="71"/>
      <c r="I244" s="71"/>
      <c r="J244" s="71"/>
    </row>
    <row r="245" spans="4:10">
      <c r="D245" s="71"/>
      <c r="E245" s="71"/>
      <c r="F245" s="71"/>
      <c r="G245" s="71"/>
      <c r="H245" s="71"/>
      <c r="I245" s="71"/>
      <c r="J245" s="71"/>
    </row>
    <row r="246" spans="4:10">
      <c r="D246" s="71"/>
      <c r="E246" s="71"/>
      <c r="F246" s="71"/>
      <c r="G246" s="71"/>
      <c r="H246" s="71"/>
      <c r="I246" s="71"/>
      <c r="J246" s="71"/>
    </row>
    <row r="247" spans="4:10">
      <c r="D247" s="71"/>
      <c r="E247" s="71"/>
      <c r="F247" s="71"/>
      <c r="G247" s="71"/>
      <c r="H247" s="71"/>
      <c r="I247" s="71"/>
      <c r="J247" s="71"/>
    </row>
    <row r="248" spans="4:10">
      <c r="D248" s="71"/>
      <c r="E248" s="71"/>
      <c r="F248" s="71"/>
      <c r="G248" s="71"/>
      <c r="H248" s="71"/>
      <c r="I248" s="71"/>
      <c r="J248" s="71"/>
    </row>
    <row r="249" spans="4:10">
      <c r="D249" s="71"/>
      <c r="E249" s="71"/>
      <c r="F249" s="71"/>
      <c r="G249" s="71"/>
      <c r="H249" s="71"/>
      <c r="I249" s="71"/>
      <c r="J249" s="71"/>
    </row>
    <row r="250" spans="4:10">
      <c r="D250" s="71"/>
      <c r="E250" s="71"/>
      <c r="F250" s="71"/>
      <c r="G250" s="71"/>
      <c r="H250" s="71"/>
      <c r="I250" s="71"/>
      <c r="J250" s="71"/>
    </row>
    <row r="251" spans="4:10">
      <c r="D251" s="71"/>
      <c r="E251" s="71"/>
      <c r="F251" s="71"/>
      <c r="G251" s="71"/>
      <c r="H251" s="71"/>
      <c r="I251" s="71"/>
      <c r="J251" s="71"/>
    </row>
    <row r="252" spans="4:10">
      <c r="D252" s="71"/>
      <c r="E252" s="71"/>
      <c r="F252" s="71"/>
      <c r="G252" s="71"/>
      <c r="H252" s="71"/>
      <c r="I252" s="71"/>
      <c r="J252" s="71"/>
    </row>
    <row r="253" spans="4:10">
      <c r="D253" s="71"/>
      <c r="E253" s="71"/>
      <c r="F253" s="71"/>
      <c r="G253" s="71"/>
      <c r="H253" s="71"/>
      <c r="I253" s="71"/>
      <c r="J253" s="71"/>
    </row>
    <row r="254" spans="4:10">
      <c r="D254" s="71"/>
      <c r="E254" s="71"/>
      <c r="F254" s="71"/>
      <c r="G254" s="71"/>
      <c r="H254" s="71"/>
      <c r="I254" s="71"/>
      <c r="J254" s="71"/>
    </row>
    <row r="255" spans="4:10">
      <c r="D255" s="71"/>
      <c r="E255" s="71"/>
      <c r="F255" s="71"/>
      <c r="G255" s="71"/>
      <c r="H255" s="71"/>
      <c r="I255" s="71"/>
      <c r="J255" s="71"/>
    </row>
    <row r="256" spans="4:10">
      <c r="D256" s="71"/>
      <c r="E256" s="71"/>
      <c r="F256" s="71"/>
      <c r="G256" s="71"/>
      <c r="H256" s="71"/>
      <c r="I256" s="71"/>
      <c r="J256" s="71"/>
    </row>
    <row r="257" spans="4:10">
      <c r="D257" s="71"/>
      <c r="E257" s="71"/>
      <c r="F257" s="71"/>
      <c r="G257" s="71"/>
      <c r="H257" s="71"/>
      <c r="I257" s="71"/>
      <c r="J257" s="71"/>
    </row>
    <row r="258" spans="4:10">
      <c r="D258" s="71"/>
      <c r="E258" s="71"/>
      <c r="F258" s="71"/>
      <c r="G258" s="71"/>
      <c r="H258" s="71"/>
      <c r="I258" s="71"/>
      <c r="J258" s="71"/>
    </row>
    <row r="259" spans="4:10">
      <c r="D259" s="71"/>
      <c r="E259" s="71"/>
      <c r="F259" s="71"/>
      <c r="G259" s="71"/>
      <c r="H259" s="71"/>
      <c r="I259" s="71"/>
      <c r="J259" s="71"/>
    </row>
    <row r="260" spans="4:10">
      <c r="D260" s="71"/>
      <c r="E260" s="71"/>
      <c r="F260" s="71"/>
      <c r="G260" s="71"/>
      <c r="H260" s="71"/>
      <c r="I260" s="71"/>
      <c r="J260" s="71"/>
    </row>
    <row r="261" spans="4:10">
      <c r="D261" s="71"/>
      <c r="E261" s="71"/>
      <c r="F261" s="71"/>
      <c r="G261" s="71"/>
      <c r="H261" s="71"/>
      <c r="I261" s="71"/>
      <c r="J261" s="71"/>
    </row>
    <row r="262" spans="4:10">
      <c r="D262" s="71"/>
      <c r="E262" s="71"/>
      <c r="F262" s="71"/>
      <c r="G262" s="71"/>
      <c r="H262" s="71"/>
      <c r="I262" s="71"/>
      <c r="J262" s="71"/>
    </row>
    <row r="263" spans="4:10">
      <c r="D263" s="71"/>
      <c r="E263" s="71"/>
      <c r="F263" s="71"/>
      <c r="G263" s="71"/>
      <c r="H263" s="71"/>
      <c r="I263" s="71"/>
      <c r="J263" s="71"/>
    </row>
    <row r="264" spans="4:10">
      <c r="D264" s="71"/>
      <c r="E264" s="71"/>
      <c r="F264" s="71"/>
      <c r="G264" s="71"/>
      <c r="H264" s="71"/>
      <c r="I264" s="71"/>
      <c r="J264" s="71"/>
    </row>
    <row r="265" spans="4:10">
      <c r="D265" s="71"/>
      <c r="E265" s="71"/>
      <c r="F265" s="71"/>
      <c r="G265" s="71"/>
      <c r="H265" s="71"/>
      <c r="I265" s="71"/>
      <c r="J265" s="71"/>
    </row>
    <row r="266" spans="4:10">
      <c r="D266" s="71"/>
      <c r="E266" s="71"/>
      <c r="F266" s="71"/>
      <c r="G266" s="71"/>
      <c r="H266" s="71"/>
      <c r="I266" s="71"/>
      <c r="J266" s="71"/>
    </row>
    <row r="267" spans="4:10">
      <c r="D267" s="71"/>
      <c r="E267" s="71"/>
      <c r="F267" s="71"/>
      <c r="G267" s="71"/>
      <c r="H267" s="71"/>
      <c r="I267" s="71"/>
      <c r="J267" s="71"/>
    </row>
    <row r="268" spans="4:10">
      <c r="D268" s="71"/>
      <c r="E268" s="71"/>
      <c r="F268" s="71"/>
      <c r="G268" s="71"/>
      <c r="H268" s="71"/>
      <c r="I268" s="71"/>
      <c r="J268" s="71"/>
    </row>
    <row r="269" spans="4:10">
      <c r="D269" s="71"/>
      <c r="E269" s="71"/>
      <c r="F269" s="71"/>
      <c r="G269" s="71"/>
      <c r="H269" s="71"/>
      <c r="I269" s="71"/>
      <c r="J269" s="71"/>
    </row>
    <row r="270" spans="4:10">
      <c r="D270" s="71"/>
      <c r="E270" s="71"/>
      <c r="F270" s="71"/>
      <c r="G270" s="71"/>
      <c r="H270" s="71"/>
      <c r="I270" s="71"/>
      <c r="J270" s="71"/>
    </row>
    <row r="271" spans="4:10">
      <c r="D271" s="71"/>
      <c r="E271" s="71"/>
      <c r="F271" s="71"/>
      <c r="G271" s="71"/>
      <c r="H271" s="71"/>
      <c r="I271" s="71"/>
      <c r="J271" s="71"/>
    </row>
    <row r="272" spans="4:10">
      <c r="D272" s="71"/>
      <c r="E272" s="71"/>
      <c r="F272" s="71"/>
      <c r="G272" s="71"/>
      <c r="H272" s="71"/>
      <c r="I272" s="71"/>
      <c r="J272" s="71"/>
    </row>
    <row r="273" spans="4:10">
      <c r="D273" s="71"/>
      <c r="E273" s="71"/>
      <c r="F273" s="71"/>
      <c r="G273" s="71"/>
      <c r="H273" s="71"/>
      <c r="I273" s="71"/>
      <c r="J273" s="71"/>
    </row>
    <row r="274" spans="4:10">
      <c r="D274" s="71"/>
      <c r="E274" s="71"/>
      <c r="F274" s="71"/>
      <c r="G274" s="71"/>
      <c r="H274" s="71"/>
      <c r="I274" s="71"/>
      <c r="J274" s="71"/>
    </row>
    <row r="275" spans="4:10">
      <c r="D275" s="71"/>
      <c r="E275" s="71"/>
      <c r="F275" s="71"/>
      <c r="G275" s="71"/>
      <c r="H275" s="71"/>
      <c r="I275" s="71"/>
      <c r="J275" s="71"/>
    </row>
    <row r="276" spans="4:10">
      <c r="D276" s="71"/>
      <c r="E276" s="71"/>
      <c r="F276" s="71"/>
      <c r="G276" s="71"/>
      <c r="H276" s="71"/>
      <c r="I276" s="71"/>
      <c r="J276" s="71"/>
    </row>
    <row r="277" spans="4:10">
      <c r="D277" s="71"/>
      <c r="E277" s="71"/>
      <c r="F277" s="71"/>
      <c r="G277" s="71"/>
      <c r="H277" s="71"/>
      <c r="I277" s="71"/>
      <c r="J277" s="71"/>
    </row>
    <row r="278" spans="4:10">
      <c r="D278" s="71"/>
      <c r="E278" s="71"/>
      <c r="F278" s="71"/>
      <c r="G278" s="71"/>
      <c r="H278" s="71"/>
      <c r="I278" s="71"/>
      <c r="J278" s="71"/>
    </row>
    <row r="279" spans="4:10">
      <c r="D279" s="71"/>
      <c r="E279" s="71"/>
      <c r="F279" s="71"/>
      <c r="G279" s="71"/>
      <c r="H279" s="71"/>
      <c r="I279" s="71"/>
      <c r="J279" s="71"/>
    </row>
    <row r="280" spans="4:10">
      <c r="D280" s="71"/>
      <c r="E280" s="71"/>
      <c r="F280" s="71"/>
      <c r="G280" s="71"/>
      <c r="H280" s="71"/>
      <c r="I280" s="71"/>
      <c r="J280" s="71"/>
    </row>
    <row r="281" spans="4:10">
      <c r="D281" s="71"/>
      <c r="E281" s="71"/>
      <c r="F281" s="71"/>
      <c r="G281" s="71"/>
      <c r="H281" s="71"/>
      <c r="I281" s="71"/>
      <c r="J281" s="71"/>
    </row>
    <row r="282" spans="4:10">
      <c r="D282" s="71"/>
      <c r="E282" s="71"/>
      <c r="F282" s="71"/>
      <c r="G282" s="71"/>
      <c r="H282" s="71"/>
      <c r="I282" s="71"/>
      <c r="J282" s="71"/>
    </row>
    <row r="283" spans="4:10">
      <c r="D283" s="71"/>
      <c r="E283" s="71"/>
      <c r="F283" s="71"/>
      <c r="G283" s="71"/>
      <c r="H283" s="71"/>
      <c r="I283" s="71"/>
      <c r="J283" s="71"/>
    </row>
    <row r="284" spans="4:10">
      <c r="D284" s="71"/>
      <c r="E284" s="71"/>
      <c r="F284" s="71"/>
      <c r="G284" s="71"/>
      <c r="H284" s="71"/>
      <c r="I284" s="71"/>
      <c r="J284" s="71"/>
    </row>
    <row r="285" spans="4:10">
      <c r="D285" s="71"/>
      <c r="E285" s="71"/>
      <c r="F285" s="71"/>
      <c r="G285" s="71"/>
      <c r="H285" s="71"/>
      <c r="I285" s="71"/>
      <c r="J285" s="71"/>
    </row>
    <row r="286" spans="4:10">
      <c r="D286" s="71"/>
      <c r="E286" s="71"/>
      <c r="F286" s="71"/>
      <c r="G286" s="71"/>
      <c r="H286" s="71"/>
      <c r="I286" s="71"/>
      <c r="J286" s="71"/>
    </row>
    <row r="287" spans="4:10">
      <c r="D287" s="71"/>
      <c r="E287" s="71"/>
      <c r="F287" s="71"/>
      <c r="G287" s="71"/>
      <c r="H287" s="71"/>
      <c r="I287" s="71"/>
      <c r="J287" s="71"/>
    </row>
    <row r="288" spans="4:10">
      <c r="D288" s="71"/>
      <c r="E288" s="71"/>
      <c r="F288" s="71"/>
      <c r="G288" s="71"/>
      <c r="H288" s="71"/>
      <c r="I288" s="71"/>
      <c r="J288" s="71"/>
    </row>
    <row r="289" spans="4:10">
      <c r="D289" s="71"/>
      <c r="E289" s="71"/>
      <c r="F289" s="71"/>
      <c r="G289" s="71"/>
      <c r="H289" s="71"/>
      <c r="I289" s="71"/>
      <c r="J289" s="71"/>
    </row>
    <row r="290" spans="4:10">
      <c r="D290" s="71"/>
      <c r="E290" s="71"/>
      <c r="F290" s="71"/>
      <c r="G290" s="71"/>
      <c r="H290" s="71"/>
      <c r="I290" s="71"/>
      <c r="J290" s="71"/>
    </row>
    <row r="291" spans="4:10">
      <c r="D291" s="71"/>
      <c r="E291" s="71"/>
      <c r="F291" s="71"/>
      <c r="G291" s="71"/>
      <c r="H291" s="71"/>
      <c r="I291" s="71"/>
      <c r="J291" s="71"/>
    </row>
    <row r="292" spans="4:10">
      <c r="D292" s="71"/>
      <c r="E292" s="71"/>
      <c r="F292" s="71"/>
      <c r="G292" s="71"/>
      <c r="H292" s="71"/>
      <c r="I292" s="71"/>
      <c r="J292" s="71"/>
    </row>
    <row r="293" spans="4:10">
      <c r="D293" s="71"/>
      <c r="E293" s="71"/>
      <c r="F293" s="71"/>
      <c r="G293" s="71"/>
      <c r="H293" s="71"/>
      <c r="I293" s="71"/>
      <c r="J293" s="71"/>
    </row>
    <row r="294" spans="4:10">
      <c r="D294" s="71"/>
      <c r="E294" s="71"/>
      <c r="F294" s="71"/>
      <c r="G294" s="71"/>
      <c r="H294" s="71"/>
      <c r="I294" s="71"/>
      <c r="J294" s="71"/>
    </row>
    <row r="295" spans="4:10">
      <c r="D295" s="71"/>
      <c r="E295" s="71"/>
      <c r="F295" s="71"/>
      <c r="G295" s="71"/>
      <c r="H295" s="71"/>
      <c r="I295" s="71"/>
      <c r="J295" s="71"/>
    </row>
    <row r="296" spans="4:10">
      <c r="D296" s="71"/>
      <c r="E296" s="71"/>
      <c r="F296" s="71"/>
      <c r="G296" s="71"/>
      <c r="H296" s="71"/>
      <c r="I296" s="71"/>
      <c r="J296" s="71"/>
    </row>
    <row r="297" spans="4:10">
      <c r="D297" s="71"/>
      <c r="E297" s="71"/>
      <c r="F297" s="71"/>
      <c r="G297" s="71"/>
      <c r="H297" s="71"/>
      <c r="I297" s="71"/>
      <c r="J297" s="71"/>
    </row>
    <row r="298" spans="4:10">
      <c r="D298" s="71"/>
      <c r="E298" s="71"/>
      <c r="F298" s="71"/>
      <c r="G298" s="71"/>
      <c r="H298" s="71"/>
      <c r="I298" s="71"/>
      <c r="J298" s="71"/>
    </row>
    <row r="299" spans="4:10">
      <c r="D299" s="71"/>
      <c r="E299" s="71"/>
      <c r="F299" s="71"/>
      <c r="G299" s="71"/>
      <c r="H299" s="71"/>
      <c r="I299" s="71"/>
      <c r="J299" s="71"/>
    </row>
    <row r="300" spans="4:10">
      <c r="D300" s="71"/>
      <c r="E300" s="71"/>
      <c r="F300" s="71"/>
      <c r="G300" s="71"/>
      <c r="H300" s="71"/>
      <c r="I300" s="71"/>
      <c r="J300" s="71"/>
    </row>
    <row r="301" spans="4:10">
      <c r="D301" s="71"/>
      <c r="E301" s="71"/>
      <c r="F301" s="71"/>
      <c r="G301" s="71"/>
      <c r="H301" s="71"/>
      <c r="I301" s="71"/>
      <c r="J301" s="71"/>
    </row>
    <row r="302" spans="4:10">
      <c r="D302" s="71"/>
      <c r="E302" s="71"/>
      <c r="F302" s="71"/>
      <c r="G302" s="71"/>
      <c r="H302" s="71"/>
      <c r="I302" s="71"/>
      <c r="J302" s="71"/>
    </row>
    <row r="303" spans="4:10">
      <c r="D303" s="71"/>
      <c r="E303" s="71"/>
      <c r="F303" s="71"/>
      <c r="G303" s="71"/>
      <c r="H303" s="71"/>
      <c r="I303" s="71"/>
      <c r="J303" s="71"/>
    </row>
    <row r="304" spans="4:10">
      <c r="D304" s="71"/>
      <c r="E304" s="71"/>
      <c r="F304" s="71"/>
      <c r="G304" s="71"/>
      <c r="H304" s="71"/>
      <c r="I304" s="71"/>
      <c r="J304" s="71"/>
    </row>
    <row r="305" spans="4:10">
      <c r="D305" s="71"/>
      <c r="E305" s="71"/>
      <c r="F305" s="71"/>
      <c r="G305" s="71"/>
      <c r="H305" s="71"/>
      <c r="I305" s="71"/>
      <c r="J305" s="71"/>
    </row>
    <row r="306" spans="4:10">
      <c r="D306" s="71"/>
      <c r="E306" s="71"/>
      <c r="F306" s="71"/>
      <c r="G306" s="71"/>
      <c r="H306" s="71"/>
      <c r="I306" s="71"/>
      <c r="J306" s="71"/>
    </row>
    <row r="307" spans="4:10">
      <c r="D307" s="71"/>
      <c r="E307" s="71"/>
      <c r="F307" s="71"/>
      <c r="G307" s="71"/>
      <c r="H307" s="71"/>
      <c r="I307" s="71"/>
      <c r="J307" s="71"/>
    </row>
    <row r="308" spans="4:10">
      <c r="D308" s="71"/>
      <c r="E308" s="71"/>
      <c r="F308" s="71"/>
      <c r="G308" s="71"/>
      <c r="H308" s="71"/>
      <c r="I308" s="71"/>
      <c r="J308" s="71"/>
    </row>
    <row r="309" spans="4:10">
      <c r="D309" s="71"/>
      <c r="E309" s="71"/>
      <c r="F309" s="71"/>
      <c r="G309" s="71"/>
      <c r="H309" s="71"/>
      <c r="I309" s="71"/>
      <c r="J309" s="71"/>
    </row>
    <row r="310" spans="4:10">
      <c r="D310" s="71"/>
      <c r="E310" s="71"/>
      <c r="F310" s="71"/>
      <c r="G310" s="71"/>
      <c r="H310" s="71"/>
      <c r="I310" s="71"/>
      <c r="J310" s="71"/>
    </row>
    <row r="311" spans="4:10">
      <c r="D311" s="71"/>
      <c r="E311" s="71"/>
      <c r="F311" s="71"/>
      <c r="G311" s="71"/>
      <c r="H311" s="71"/>
      <c r="I311" s="71"/>
      <c r="J311" s="71"/>
    </row>
    <row r="312" spans="4:10">
      <c r="D312" s="71"/>
      <c r="E312" s="71"/>
      <c r="F312" s="71"/>
      <c r="G312" s="71"/>
      <c r="H312" s="71"/>
      <c r="I312" s="71"/>
      <c r="J312" s="71"/>
    </row>
    <row r="313" spans="4:10">
      <c r="D313" s="71"/>
      <c r="E313" s="71"/>
      <c r="F313" s="71"/>
      <c r="G313" s="71"/>
      <c r="H313" s="71"/>
      <c r="I313" s="71"/>
      <c r="J313" s="71"/>
    </row>
    <row r="314" spans="4:10">
      <c r="D314" s="71"/>
      <c r="E314" s="71"/>
      <c r="F314" s="71"/>
      <c r="G314" s="71"/>
      <c r="H314" s="71"/>
      <c r="I314" s="71"/>
      <c r="J314" s="71"/>
    </row>
    <row r="315" spans="4:10">
      <c r="D315" s="71"/>
      <c r="E315" s="71"/>
      <c r="F315" s="71"/>
      <c r="G315" s="71"/>
      <c r="H315" s="71"/>
      <c r="I315" s="71"/>
      <c r="J315" s="71"/>
    </row>
    <row r="316" spans="4:10">
      <c r="D316" s="71"/>
      <c r="E316" s="71"/>
      <c r="F316" s="71"/>
      <c r="G316" s="71"/>
      <c r="H316" s="71"/>
      <c r="I316" s="71"/>
      <c r="J316" s="71"/>
    </row>
    <row r="317" spans="4:10">
      <c r="D317" s="71"/>
      <c r="E317" s="71"/>
      <c r="F317" s="71"/>
      <c r="G317" s="71"/>
      <c r="H317" s="71"/>
      <c r="I317" s="71"/>
      <c r="J317" s="71"/>
    </row>
    <row r="318" spans="4:10">
      <c r="D318" s="71"/>
      <c r="E318" s="71"/>
      <c r="F318" s="71"/>
      <c r="G318" s="71"/>
      <c r="H318" s="71"/>
      <c r="I318" s="71"/>
      <c r="J318" s="71"/>
    </row>
    <row r="319" spans="4:10">
      <c r="D319" s="71"/>
      <c r="E319" s="71"/>
      <c r="F319" s="71"/>
      <c r="G319" s="71"/>
      <c r="H319" s="71"/>
      <c r="I319" s="71"/>
      <c r="J319" s="71"/>
    </row>
    <row r="320" spans="4:10">
      <c r="D320" s="71"/>
      <c r="E320" s="71"/>
      <c r="F320" s="71"/>
      <c r="G320" s="71"/>
      <c r="H320" s="71"/>
      <c r="I320" s="71"/>
      <c r="J320" s="71"/>
    </row>
    <row r="321" spans="4:10">
      <c r="D321" s="71"/>
      <c r="E321" s="71"/>
      <c r="F321" s="71"/>
      <c r="G321" s="71"/>
      <c r="H321" s="71"/>
      <c r="I321" s="71"/>
      <c r="J321" s="71"/>
    </row>
    <row r="322" spans="4:10">
      <c r="D322" s="71"/>
      <c r="E322" s="71"/>
      <c r="F322" s="71"/>
      <c r="G322" s="71"/>
      <c r="H322" s="71"/>
      <c r="I322" s="71"/>
      <c r="J322" s="71"/>
    </row>
    <row r="323" spans="4:10">
      <c r="D323" s="71"/>
      <c r="E323" s="71"/>
      <c r="F323" s="71"/>
      <c r="G323" s="71"/>
      <c r="H323" s="71"/>
      <c r="I323" s="71"/>
      <c r="J323" s="71"/>
    </row>
    <row r="324" spans="4:10">
      <c r="D324" s="71"/>
      <c r="E324" s="71"/>
      <c r="F324" s="71"/>
      <c r="G324" s="71"/>
      <c r="H324" s="71"/>
      <c r="I324" s="71"/>
      <c r="J324" s="71"/>
    </row>
    <row r="325" spans="4:10">
      <c r="D325" s="71"/>
      <c r="E325" s="71"/>
      <c r="F325" s="71"/>
      <c r="G325" s="71"/>
      <c r="H325" s="71"/>
      <c r="I325" s="71"/>
      <c r="J325" s="71"/>
    </row>
    <row r="326" spans="4:10">
      <c r="D326" s="71"/>
      <c r="E326" s="71"/>
      <c r="F326" s="71"/>
      <c r="G326" s="71"/>
      <c r="H326" s="71"/>
      <c r="I326" s="71"/>
      <c r="J326" s="71"/>
    </row>
    <row r="327" spans="4:10">
      <c r="D327" s="71"/>
      <c r="E327" s="71"/>
      <c r="F327" s="71"/>
      <c r="G327" s="71"/>
      <c r="H327" s="71"/>
      <c r="I327" s="71"/>
      <c r="J327" s="71"/>
    </row>
    <row r="328" spans="4:10">
      <c r="D328" s="71"/>
      <c r="E328" s="71"/>
      <c r="F328" s="71"/>
      <c r="G328" s="71"/>
      <c r="H328" s="71"/>
      <c r="I328" s="71"/>
      <c r="J328" s="71"/>
    </row>
    <row r="329" spans="4:10">
      <c r="D329" s="71"/>
      <c r="E329" s="71"/>
      <c r="F329" s="71"/>
      <c r="G329" s="71"/>
      <c r="H329" s="71"/>
      <c r="I329" s="71"/>
      <c r="J329" s="71"/>
    </row>
    <row r="330" spans="4:10">
      <c r="D330" s="71"/>
      <c r="E330" s="71"/>
      <c r="F330" s="71"/>
      <c r="G330" s="71"/>
      <c r="H330" s="71"/>
      <c r="I330" s="71"/>
      <c r="J330" s="71"/>
    </row>
    <row r="331" spans="4:10">
      <c r="D331" s="71"/>
      <c r="E331" s="71"/>
      <c r="F331" s="71"/>
      <c r="G331" s="71"/>
      <c r="H331" s="71"/>
      <c r="I331" s="71"/>
      <c r="J331" s="71"/>
    </row>
    <row r="332" spans="4:10">
      <c r="D332" s="71"/>
      <c r="E332" s="71"/>
      <c r="F332" s="71"/>
      <c r="G332" s="71"/>
      <c r="H332" s="71"/>
      <c r="I332" s="71"/>
      <c r="J332" s="71"/>
    </row>
    <row r="333" spans="4:10">
      <c r="D333" s="71"/>
      <c r="E333" s="71"/>
      <c r="F333" s="71"/>
      <c r="G333" s="71"/>
      <c r="H333" s="71"/>
      <c r="I333" s="71"/>
      <c r="J333" s="71"/>
    </row>
    <row r="334" spans="4:10">
      <c r="D334" s="71"/>
      <c r="E334" s="71"/>
      <c r="F334" s="71"/>
      <c r="G334" s="71"/>
      <c r="H334" s="71"/>
      <c r="I334" s="71"/>
      <c r="J334" s="71"/>
    </row>
    <row r="335" spans="4:10">
      <c r="D335" s="71"/>
      <c r="E335" s="71"/>
      <c r="F335" s="71"/>
      <c r="G335" s="71"/>
      <c r="H335" s="71"/>
      <c r="I335" s="71"/>
      <c r="J335" s="71"/>
    </row>
    <row r="336" spans="4:10">
      <c r="D336" s="71"/>
      <c r="E336" s="71"/>
      <c r="F336" s="71"/>
      <c r="G336" s="71"/>
      <c r="H336" s="71"/>
      <c r="I336" s="71"/>
      <c r="J336" s="71"/>
    </row>
    <row r="337" spans="4:10">
      <c r="D337" s="71"/>
      <c r="E337" s="71"/>
      <c r="F337" s="71"/>
      <c r="G337" s="71"/>
      <c r="H337" s="71"/>
      <c r="I337" s="71"/>
      <c r="J337" s="71"/>
    </row>
    <row r="338" spans="4:10">
      <c r="D338" s="71"/>
      <c r="E338" s="71"/>
      <c r="F338" s="71"/>
      <c r="G338" s="71"/>
      <c r="H338" s="71"/>
      <c r="I338" s="71"/>
      <c r="J338" s="71"/>
    </row>
    <row r="339" spans="4:10">
      <c r="D339" s="71"/>
      <c r="E339" s="71"/>
      <c r="F339" s="71"/>
      <c r="G339" s="71"/>
      <c r="H339" s="71"/>
      <c r="I339" s="71"/>
      <c r="J339" s="71"/>
    </row>
    <row r="340" spans="4:10">
      <c r="D340" s="71"/>
      <c r="E340" s="71"/>
      <c r="F340" s="71"/>
      <c r="G340" s="71"/>
      <c r="H340" s="71"/>
      <c r="I340" s="71"/>
      <c r="J340" s="71"/>
    </row>
    <row r="341" spans="4:10">
      <c r="D341" s="71"/>
      <c r="E341" s="71"/>
      <c r="F341" s="71"/>
      <c r="G341" s="71"/>
      <c r="H341" s="71"/>
      <c r="I341" s="71"/>
      <c r="J341" s="71"/>
    </row>
    <row r="342" spans="4:10">
      <c r="D342" s="71"/>
      <c r="E342" s="71"/>
      <c r="F342" s="71"/>
      <c r="G342" s="71"/>
      <c r="H342" s="71"/>
      <c r="I342" s="71"/>
      <c r="J342" s="71"/>
    </row>
    <row r="343" spans="4:10">
      <c r="D343" s="71"/>
      <c r="E343" s="71"/>
      <c r="F343" s="71"/>
      <c r="G343" s="71"/>
      <c r="H343" s="71"/>
      <c r="I343" s="71"/>
      <c r="J343" s="71"/>
    </row>
    <row r="344" spans="4:10">
      <c r="D344" s="71"/>
      <c r="E344" s="71"/>
      <c r="F344" s="71"/>
      <c r="G344" s="71"/>
      <c r="H344" s="71"/>
      <c r="I344" s="71"/>
      <c r="J344" s="71"/>
    </row>
    <row r="345" spans="4:10">
      <c r="D345" s="71"/>
      <c r="E345" s="71"/>
      <c r="F345" s="71"/>
      <c r="G345" s="71"/>
      <c r="H345" s="71"/>
      <c r="I345" s="71"/>
      <c r="J345" s="71"/>
    </row>
    <row r="346" spans="4:10">
      <c r="D346" s="71"/>
      <c r="E346" s="71"/>
      <c r="F346" s="71"/>
      <c r="G346" s="71"/>
      <c r="H346" s="71"/>
      <c r="I346" s="71"/>
      <c r="J346" s="71"/>
    </row>
    <row r="347" spans="4:10">
      <c r="D347" s="71"/>
      <c r="E347" s="71"/>
      <c r="F347" s="71"/>
      <c r="G347" s="71"/>
      <c r="H347" s="71"/>
      <c r="I347" s="71"/>
      <c r="J347" s="71"/>
    </row>
    <row r="348" spans="4:10">
      <c r="D348" s="71"/>
      <c r="E348" s="71"/>
      <c r="F348" s="71"/>
      <c r="G348" s="71"/>
      <c r="H348" s="71"/>
      <c r="I348" s="71"/>
      <c r="J348" s="71"/>
    </row>
    <row r="349" spans="4:10">
      <c r="D349" s="71"/>
      <c r="E349" s="71"/>
      <c r="F349" s="71"/>
      <c r="G349" s="71"/>
      <c r="H349" s="71"/>
      <c r="I349" s="71"/>
      <c r="J349" s="71"/>
    </row>
    <row r="350" spans="4:10">
      <c r="D350" s="71"/>
      <c r="E350" s="71"/>
      <c r="F350" s="71"/>
      <c r="G350" s="71"/>
      <c r="H350" s="71"/>
      <c r="I350" s="71"/>
      <c r="J350" s="71"/>
    </row>
    <row r="351" spans="4:10">
      <c r="D351" s="71"/>
      <c r="E351" s="71"/>
      <c r="F351" s="71"/>
      <c r="G351" s="71"/>
      <c r="H351" s="71"/>
      <c r="I351" s="71"/>
      <c r="J351" s="71"/>
    </row>
    <row r="352" spans="4:10">
      <c r="D352" s="71"/>
      <c r="E352" s="71"/>
      <c r="F352" s="71"/>
      <c r="G352" s="71"/>
      <c r="H352" s="71"/>
      <c r="I352" s="71"/>
      <c r="J352" s="71"/>
    </row>
    <row r="353" spans="4:10">
      <c r="D353" s="71"/>
      <c r="E353" s="71"/>
      <c r="F353" s="71"/>
      <c r="G353" s="71"/>
      <c r="H353" s="71"/>
      <c r="I353" s="71"/>
      <c r="J353" s="71"/>
    </row>
    <row r="354" spans="4:10">
      <c r="D354" s="71"/>
      <c r="E354" s="71"/>
      <c r="F354" s="71"/>
      <c r="G354" s="71"/>
      <c r="H354" s="71"/>
      <c r="I354" s="71"/>
      <c r="J354" s="71"/>
    </row>
    <row r="355" spans="4:10">
      <c r="D355" s="71"/>
      <c r="E355" s="71"/>
      <c r="F355" s="71"/>
      <c r="G355" s="71"/>
      <c r="H355" s="71"/>
      <c r="I355" s="71"/>
      <c r="J355" s="71"/>
    </row>
    <row r="356" spans="4:10">
      <c r="D356" s="71"/>
      <c r="E356" s="71"/>
      <c r="F356" s="71"/>
      <c r="G356" s="71"/>
      <c r="H356" s="71"/>
      <c r="I356" s="71"/>
      <c r="J356" s="71"/>
    </row>
    <row r="357" spans="4:10">
      <c r="D357" s="71"/>
      <c r="E357" s="71"/>
      <c r="F357" s="71"/>
      <c r="G357" s="71"/>
      <c r="H357" s="71"/>
      <c r="I357" s="71"/>
      <c r="J357" s="71"/>
    </row>
    <row r="358" spans="4:10">
      <c r="D358" s="71"/>
      <c r="E358" s="71"/>
      <c r="F358" s="71"/>
      <c r="G358" s="71"/>
      <c r="H358" s="71"/>
      <c r="I358" s="71"/>
      <c r="J358" s="71"/>
    </row>
    <row r="359" spans="4:10">
      <c r="D359" s="71"/>
      <c r="E359" s="71"/>
      <c r="F359" s="71"/>
      <c r="G359" s="71"/>
      <c r="H359" s="71"/>
      <c r="I359" s="71"/>
      <c r="J359" s="71"/>
    </row>
    <row r="360" spans="4:10">
      <c r="D360" s="71"/>
      <c r="E360" s="71"/>
      <c r="F360" s="71"/>
      <c r="G360" s="71"/>
      <c r="H360" s="71"/>
      <c r="I360" s="71"/>
      <c r="J360" s="71"/>
    </row>
    <row r="361" spans="4:10">
      <c r="D361" s="71"/>
      <c r="E361" s="71"/>
      <c r="F361" s="71"/>
      <c r="G361" s="71"/>
      <c r="H361" s="71"/>
      <c r="I361" s="71"/>
      <c r="J361" s="71"/>
    </row>
    <row r="362" spans="4:10">
      <c r="D362" s="71"/>
      <c r="E362" s="71"/>
      <c r="F362" s="71"/>
      <c r="G362" s="71"/>
      <c r="H362" s="71"/>
      <c r="I362" s="71"/>
      <c r="J362" s="71"/>
    </row>
    <row r="363" spans="4:10">
      <c r="D363" s="71"/>
      <c r="E363" s="71"/>
      <c r="F363" s="71"/>
      <c r="G363" s="71"/>
      <c r="H363" s="71"/>
      <c r="I363" s="71"/>
      <c r="J363" s="71"/>
    </row>
    <row r="364" spans="4:10">
      <c r="D364" s="71"/>
      <c r="E364" s="71"/>
      <c r="F364" s="71"/>
      <c r="G364" s="71"/>
      <c r="H364" s="71"/>
      <c r="I364" s="71"/>
      <c r="J364" s="71"/>
    </row>
    <row r="365" spans="4:10">
      <c r="D365" s="71"/>
      <c r="E365" s="71"/>
      <c r="F365" s="71"/>
      <c r="G365" s="71"/>
      <c r="H365" s="71"/>
      <c r="I365" s="71"/>
      <c r="J365" s="71"/>
    </row>
    <row r="366" spans="4:10">
      <c r="D366" s="71"/>
      <c r="E366" s="71"/>
      <c r="F366" s="71"/>
      <c r="G366" s="71"/>
      <c r="H366" s="71"/>
      <c r="I366" s="71"/>
      <c r="J366" s="71"/>
    </row>
    <row r="367" spans="4:10">
      <c r="D367" s="71"/>
      <c r="E367" s="71"/>
      <c r="F367" s="71"/>
      <c r="G367" s="71"/>
      <c r="H367" s="71"/>
      <c r="I367" s="71"/>
      <c r="J367" s="71"/>
    </row>
    <row r="368" spans="4:10">
      <c r="D368" s="71"/>
      <c r="E368" s="71"/>
      <c r="F368" s="71"/>
      <c r="G368" s="71"/>
      <c r="H368" s="71"/>
      <c r="I368" s="71"/>
      <c r="J368" s="71"/>
    </row>
    <row r="369" spans="4:10">
      <c r="D369" s="71"/>
      <c r="E369" s="71"/>
      <c r="F369" s="71"/>
      <c r="G369" s="71"/>
      <c r="H369" s="71"/>
      <c r="I369" s="71"/>
      <c r="J369" s="71"/>
    </row>
    <row r="370" spans="4:10">
      <c r="D370" s="71"/>
      <c r="E370" s="71"/>
      <c r="F370" s="71"/>
      <c r="G370" s="71"/>
      <c r="H370" s="71"/>
      <c r="I370" s="71"/>
      <c r="J370" s="71"/>
    </row>
    <row r="371" spans="4:10">
      <c r="D371" s="71"/>
      <c r="E371" s="71"/>
      <c r="F371" s="71"/>
      <c r="G371" s="71"/>
      <c r="H371" s="71"/>
      <c r="I371" s="71"/>
      <c r="J371" s="71"/>
    </row>
    <row r="372" spans="4:10">
      <c r="D372" s="71"/>
      <c r="E372" s="71"/>
      <c r="F372" s="71"/>
      <c r="G372" s="71"/>
      <c r="H372" s="71"/>
      <c r="I372" s="71"/>
      <c r="J372" s="71"/>
    </row>
    <row r="373" spans="4:10">
      <c r="D373" s="71"/>
      <c r="E373" s="71"/>
      <c r="F373" s="71"/>
      <c r="G373" s="71"/>
      <c r="H373" s="71"/>
      <c r="I373" s="71"/>
      <c r="J373" s="71"/>
    </row>
    <row r="374" spans="4:10">
      <c r="D374" s="71"/>
      <c r="E374" s="71"/>
      <c r="F374" s="71"/>
      <c r="G374" s="71"/>
      <c r="H374" s="71"/>
      <c r="I374" s="71"/>
      <c r="J374" s="71"/>
    </row>
    <row r="375" spans="4:10">
      <c r="D375" s="71"/>
      <c r="E375" s="71"/>
      <c r="F375" s="71"/>
      <c r="G375" s="71"/>
      <c r="H375" s="71"/>
      <c r="I375" s="71"/>
      <c r="J375" s="71"/>
    </row>
    <row r="376" spans="4:10">
      <c r="D376" s="71"/>
      <c r="E376" s="71"/>
      <c r="F376" s="71"/>
      <c r="G376" s="71"/>
      <c r="H376" s="71"/>
      <c r="I376" s="71"/>
      <c r="J376" s="71"/>
    </row>
    <row r="377" spans="4:10">
      <c r="D377" s="71"/>
      <c r="E377" s="71"/>
      <c r="F377" s="71"/>
      <c r="G377" s="71"/>
      <c r="H377" s="71"/>
      <c r="I377" s="71"/>
      <c r="J377" s="71"/>
    </row>
    <row r="378" spans="4:10">
      <c r="D378" s="71"/>
      <c r="E378" s="71"/>
      <c r="F378" s="71"/>
      <c r="G378" s="71"/>
      <c r="H378" s="71"/>
      <c r="I378" s="71"/>
      <c r="J378" s="71"/>
    </row>
    <row r="379" spans="4:10">
      <c r="D379" s="71"/>
      <c r="E379" s="71"/>
      <c r="F379" s="71"/>
      <c r="G379" s="71"/>
      <c r="H379" s="71"/>
      <c r="I379" s="71"/>
      <c r="J379" s="71"/>
    </row>
    <row r="380" spans="4:10">
      <c r="D380" s="71"/>
      <c r="E380" s="71"/>
      <c r="F380" s="71"/>
      <c r="G380" s="71"/>
      <c r="H380" s="71"/>
      <c r="I380" s="71"/>
      <c r="J380" s="71"/>
    </row>
    <row r="381" spans="4:10">
      <c r="D381" s="71"/>
      <c r="E381" s="71"/>
      <c r="F381" s="71"/>
      <c r="G381" s="71"/>
      <c r="H381" s="71"/>
      <c r="I381" s="71"/>
      <c r="J381" s="71"/>
    </row>
    <row r="382" spans="4:10">
      <c r="D382" s="71"/>
      <c r="E382" s="71"/>
      <c r="F382" s="71"/>
      <c r="G382" s="71"/>
      <c r="H382" s="71"/>
      <c r="I382" s="71"/>
      <c r="J382" s="71"/>
    </row>
    <row r="383" spans="4:10">
      <c r="D383" s="71"/>
      <c r="E383" s="71"/>
      <c r="F383" s="71"/>
      <c r="G383" s="71"/>
      <c r="H383" s="71"/>
      <c r="I383" s="71"/>
      <c r="J383" s="71"/>
    </row>
    <row r="384" spans="4:10">
      <c r="D384" s="71"/>
      <c r="E384" s="71"/>
      <c r="F384" s="71"/>
      <c r="G384" s="71"/>
      <c r="H384" s="71"/>
      <c r="I384" s="71"/>
      <c r="J384" s="71"/>
    </row>
    <row r="385" spans="4:10">
      <c r="D385" s="71"/>
      <c r="E385" s="71"/>
      <c r="F385" s="71"/>
      <c r="G385" s="71"/>
      <c r="H385" s="71"/>
      <c r="I385" s="71"/>
      <c r="J385" s="71"/>
    </row>
    <row r="386" spans="4:10">
      <c r="D386" s="71"/>
      <c r="E386" s="71"/>
      <c r="F386" s="71"/>
      <c r="G386" s="71"/>
      <c r="H386" s="71"/>
      <c r="I386" s="71"/>
      <c r="J386" s="71"/>
    </row>
    <row r="387" spans="4:10">
      <c r="D387" s="71"/>
      <c r="E387" s="71"/>
      <c r="F387" s="71"/>
      <c r="G387" s="71"/>
      <c r="H387" s="71"/>
      <c r="I387" s="71"/>
      <c r="J387" s="71"/>
    </row>
    <row r="388" spans="4:10">
      <c r="D388" s="71"/>
      <c r="E388" s="71"/>
      <c r="F388" s="71"/>
      <c r="G388" s="71"/>
      <c r="H388" s="71"/>
      <c r="I388" s="71"/>
      <c r="J388" s="71"/>
    </row>
    <row r="389" spans="4:10">
      <c r="D389" s="71"/>
      <c r="E389" s="71"/>
      <c r="F389" s="71"/>
      <c r="G389" s="71"/>
      <c r="H389" s="71"/>
      <c r="I389" s="71"/>
      <c r="J389" s="71"/>
    </row>
    <row r="390" spans="4:10">
      <c r="D390" s="71"/>
      <c r="E390" s="71"/>
      <c r="F390" s="71"/>
      <c r="G390" s="71"/>
      <c r="H390" s="71"/>
      <c r="I390" s="71"/>
      <c r="J390" s="71"/>
    </row>
    <row r="391" spans="4:10">
      <c r="D391" s="71"/>
      <c r="E391" s="71"/>
      <c r="F391" s="71"/>
      <c r="G391" s="71"/>
      <c r="H391" s="71"/>
      <c r="I391" s="71"/>
      <c r="J391" s="71"/>
    </row>
    <row r="392" spans="4:10">
      <c r="D392" s="71"/>
      <c r="E392" s="71"/>
      <c r="F392" s="71"/>
      <c r="G392" s="71"/>
      <c r="H392" s="71"/>
      <c r="I392" s="71"/>
      <c r="J392" s="71"/>
    </row>
    <row r="393" spans="4:10">
      <c r="D393" s="71"/>
      <c r="E393" s="71"/>
      <c r="F393" s="71"/>
      <c r="G393" s="71"/>
      <c r="H393" s="71"/>
      <c r="I393" s="71"/>
      <c r="J393" s="71"/>
    </row>
    <row r="394" spans="4:10">
      <c r="D394" s="71"/>
      <c r="E394" s="71"/>
      <c r="F394" s="71"/>
      <c r="G394" s="71"/>
      <c r="H394" s="71"/>
      <c r="I394" s="71"/>
      <c r="J394" s="71"/>
    </row>
    <row r="395" spans="4:10">
      <c r="D395" s="71"/>
      <c r="E395" s="71"/>
      <c r="F395" s="71"/>
      <c r="G395" s="71"/>
      <c r="H395" s="71"/>
      <c r="I395" s="71"/>
      <c r="J395" s="71"/>
    </row>
    <row r="396" spans="4:10">
      <c r="D396" s="71"/>
      <c r="E396" s="71"/>
      <c r="F396" s="71"/>
      <c r="G396" s="71"/>
      <c r="H396" s="71"/>
      <c r="I396" s="71"/>
      <c r="J396" s="71"/>
    </row>
    <row r="397" spans="4:10">
      <c r="D397" s="71"/>
      <c r="E397" s="71"/>
      <c r="F397" s="71"/>
      <c r="G397" s="71"/>
      <c r="H397" s="71"/>
      <c r="I397" s="71"/>
      <c r="J397" s="71"/>
    </row>
    <row r="398" spans="4:10">
      <c r="D398" s="71"/>
      <c r="E398" s="71"/>
      <c r="F398" s="71"/>
      <c r="G398" s="71"/>
      <c r="H398" s="71"/>
      <c r="I398" s="71"/>
      <c r="J398" s="71"/>
    </row>
    <row r="399" spans="4:10">
      <c r="D399" s="71"/>
      <c r="E399" s="71"/>
      <c r="F399" s="71"/>
      <c r="G399" s="71"/>
      <c r="H399" s="71"/>
      <c r="I399" s="71"/>
      <c r="J399" s="71"/>
    </row>
    <row r="400" spans="4:10">
      <c r="D400" s="71"/>
      <c r="E400" s="71"/>
      <c r="F400" s="71"/>
      <c r="G400" s="71"/>
      <c r="H400" s="71"/>
      <c r="I400" s="71"/>
      <c r="J400" s="71"/>
    </row>
    <row r="401" spans="4:10">
      <c r="D401" s="71"/>
      <c r="E401" s="71"/>
      <c r="F401" s="71"/>
      <c r="G401" s="71"/>
      <c r="H401" s="71"/>
      <c r="I401" s="71"/>
      <c r="J401" s="71"/>
    </row>
    <row r="402" spans="4:10">
      <c r="D402" s="71"/>
      <c r="E402" s="71"/>
      <c r="F402" s="71"/>
      <c r="G402" s="71"/>
      <c r="H402" s="71"/>
      <c r="I402" s="71"/>
      <c r="J402" s="71"/>
    </row>
    <row r="403" spans="4:10">
      <c r="D403" s="71"/>
      <c r="E403" s="71"/>
      <c r="F403" s="71"/>
      <c r="G403" s="71"/>
      <c r="H403" s="71"/>
      <c r="I403" s="71"/>
      <c r="J403" s="71"/>
    </row>
    <row r="404" spans="4:10">
      <c r="D404" s="71"/>
      <c r="E404" s="71"/>
      <c r="F404" s="71"/>
      <c r="G404" s="71"/>
      <c r="H404" s="71"/>
      <c r="I404" s="71"/>
      <c r="J404" s="71"/>
    </row>
    <row r="405" spans="4:10">
      <c r="D405" s="71"/>
      <c r="E405" s="71"/>
      <c r="F405" s="71"/>
      <c r="G405" s="71"/>
      <c r="H405" s="71"/>
      <c r="I405" s="71"/>
      <c r="J405" s="71"/>
    </row>
    <row r="406" spans="4:10">
      <c r="D406" s="71"/>
      <c r="E406" s="71"/>
      <c r="F406" s="71"/>
      <c r="G406" s="71"/>
      <c r="H406" s="71"/>
      <c r="I406" s="71"/>
      <c r="J406" s="71"/>
    </row>
    <row r="407" spans="4:10">
      <c r="D407" s="71"/>
      <c r="E407" s="71"/>
      <c r="F407" s="71"/>
      <c r="G407" s="71"/>
      <c r="H407" s="71"/>
      <c r="I407" s="71"/>
      <c r="J407" s="71"/>
    </row>
    <row r="408" spans="4:10">
      <c r="D408" s="71"/>
      <c r="E408" s="71"/>
      <c r="F408" s="71"/>
      <c r="G408" s="71"/>
      <c r="H408" s="71"/>
      <c r="I408" s="71"/>
      <c r="J408" s="71"/>
    </row>
    <row r="409" spans="4:10">
      <c r="D409" s="71"/>
      <c r="E409" s="71"/>
      <c r="F409" s="71"/>
      <c r="G409" s="71"/>
      <c r="H409" s="71"/>
      <c r="I409" s="71"/>
      <c r="J409" s="71"/>
    </row>
    <row r="410" spans="4:10">
      <c r="D410" s="71"/>
      <c r="E410" s="71"/>
      <c r="F410" s="71"/>
      <c r="G410" s="71"/>
      <c r="H410" s="71"/>
      <c r="I410" s="71"/>
      <c r="J410" s="71"/>
    </row>
    <row r="411" spans="4:10">
      <c r="D411" s="71"/>
      <c r="E411" s="71"/>
      <c r="F411" s="71"/>
      <c r="G411" s="71"/>
      <c r="H411" s="71"/>
      <c r="I411" s="71"/>
      <c r="J411" s="71"/>
    </row>
    <row r="412" spans="4:10">
      <c r="D412" s="71"/>
      <c r="E412" s="71"/>
      <c r="F412" s="71"/>
      <c r="G412" s="71"/>
      <c r="H412" s="71"/>
      <c r="I412" s="71"/>
      <c r="J412" s="71"/>
    </row>
    <row r="413" spans="4:10">
      <c r="D413" s="71"/>
      <c r="E413" s="71"/>
      <c r="F413" s="71"/>
      <c r="G413" s="71"/>
      <c r="H413" s="71"/>
      <c r="I413" s="71"/>
      <c r="J413" s="71"/>
    </row>
    <row r="414" spans="4:10">
      <c r="D414" s="71"/>
      <c r="E414" s="71"/>
      <c r="F414" s="71"/>
      <c r="G414" s="71"/>
      <c r="H414" s="71"/>
      <c r="I414" s="71"/>
      <c r="J414" s="71"/>
    </row>
    <row r="415" spans="4:10">
      <c r="D415" s="71"/>
      <c r="E415" s="71"/>
      <c r="F415" s="71"/>
      <c r="G415" s="71"/>
      <c r="H415" s="71"/>
      <c r="I415" s="71"/>
      <c r="J415" s="71"/>
    </row>
    <row r="416" spans="4:10">
      <c r="D416" s="71"/>
      <c r="E416" s="71"/>
      <c r="F416" s="71"/>
      <c r="G416" s="71"/>
      <c r="H416" s="71"/>
      <c r="I416" s="71"/>
      <c r="J416" s="71"/>
    </row>
    <row r="417" spans="4:10">
      <c r="D417" s="71"/>
      <c r="E417" s="71"/>
      <c r="F417" s="71"/>
      <c r="G417" s="71"/>
      <c r="H417" s="71"/>
      <c r="I417" s="71"/>
      <c r="J417" s="71"/>
    </row>
    <row r="418" spans="4:10">
      <c r="D418" s="71"/>
      <c r="E418" s="71"/>
      <c r="F418" s="71"/>
      <c r="G418" s="71"/>
      <c r="H418" s="71"/>
      <c r="I418" s="71"/>
      <c r="J418" s="71"/>
    </row>
    <row r="419" spans="4:10">
      <c r="D419" s="71"/>
      <c r="E419" s="71"/>
      <c r="F419" s="71"/>
      <c r="G419" s="71"/>
      <c r="H419" s="71"/>
      <c r="I419" s="71"/>
      <c r="J419" s="71"/>
    </row>
    <row r="420" spans="4:10">
      <c r="D420" s="71"/>
      <c r="E420" s="71"/>
      <c r="F420" s="71"/>
      <c r="G420" s="71"/>
      <c r="H420" s="71"/>
      <c r="I420" s="71"/>
      <c r="J420" s="71"/>
    </row>
    <row r="421" spans="4:10">
      <c r="D421" s="71"/>
      <c r="E421" s="71"/>
      <c r="F421" s="71"/>
      <c r="G421" s="71"/>
      <c r="H421" s="71"/>
      <c r="I421" s="71"/>
      <c r="J421" s="71"/>
    </row>
    <row r="422" spans="4:10">
      <c r="D422" s="71"/>
      <c r="E422" s="71"/>
      <c r="F422" s="71"/>
      <c r="G422" s="71"/>
      <c r="H422" s="71"/>
      <c r="I422" s="71"/>
      <c r="J422" s="71"/>
    </row>
    <row r="423" spans="4:10">
      <c r="D423" s="71"/>
      <c r="E423" s="71"/>
      <c r="F423" s="71"/>
      <c r="G423" s="71"/>
      <c r="H423" s="71"/>
      <c r="I423" s="71"/>
      <c r="J423" s="71"/>
    </row>
    <row r="424" spans="4:10">
      <c r="D424" s="71"/>
      <c r="E424" s="71"/>
      <c r="F424" s="71"/>
      <c r="G424" s="71"/>
      <c r="H424" s="71"/>
      <c r="I424" s="71"/>
      <c r="J424" s="71"/>
    </row>
    <row r="425" spans="4:10">
      <c r="D425" s="71"/>
      <c r="E425" s="71"/>
      <c r="F425" s="71"/>
      <c r="G425" s="71"/>
      <c r="H425" s="71"/>
      <c r="I425" s="71"/>
      <c r="J425" s="71"/>
    </row>
    <row r="426" spans="4:10">
      <c r="D426" s="71"/>
      <c r="E426" s="71"/>
      <c r="F426" s="71"/>
      <c r="G426" s="71"/>
      <c r="H426" s="71"/>
      <c r="I426" s="71"/>
      <c r="J426" s="71"/>
    </row>
    <row r="427" spans="4:10">
      <c r="D427" s="71"/>
      <c r="E427" s="71"/>
      <c r="F427" s="71"/>
      <c r="G427" s="71"/>
      <c r="H427" s="71"/>
      <c r="I427" s="71"/>
      <c r="J427" s="71"/>
    </row>
    <row r="428" spans="4:10">
      <c r="D428" s="71"/>
      <c r="E428" s="71"/>
      <c r="F428" s="71"/>
      <c r="G428" s="71"/>
      <c r="H428" s="71"/>
      <c r="I428" s="71"/>
      <c r="J428" s="71"/>
    </row>
    <row r="429" spans="4:10">
      <c r="D429" s="71"/>
      <c r="E429" s="71"/>
      <c r="F429" s="71"/>
      <c r="G429" s="71"/>
      <c r="H429" s="71"/>
      <c r="I429" s="71"/>
      <c r="J429" s="71"/>
    </row>
    <row r="430" spans="4:10">
      <c r="D430" s="71"/>
      <c r="E430" s="71"/>
      <c r="F430" s="71"/>
      <c r="G430" s="71"/>
      <c r="H430" s="71"/>
      <c r="I430" s="71"/>
      <c r="J430" s="71"/>
    </row>
    <row r="431" spans="4:10">
      <c r="D431" s="71"/>
      <c r="E431" s="71"/>
      <c r="F431" s="71"/>
      <c r="G431" s="71"/>
      <c r="H431" s="71"/>
      <c r="I431" s="71"/>
      <c r="J431" s="71"/>
    </row>
    <row r="432" spans="4:10">
      <c r="D432" s="71"/>
      <c r="E432" s="71"/>
      <c r="F432" s="71"/>
      <c r="G432" s="71"/>
      <c r="H432" s="71"/>
      <c r="I432" s="71"/>
      <c r="J432" s="71"/>
    </row>
    <row r="433" spans="4:10">
      <c r="D433" s="71"/>
      <c r="E433" s="71"/>
      <c r="F433" s="71"/>
      <c r="G433" s="71"/>
      <c r="H433" s="71"/>
      <c r="I433" s="71"/>
      <c r="J433" s="71"/>
    </row>
    <row r="434" spans="4:10">
      <c r="D434" s="71"/>
      <c r="E434" s="71"/>
      <c r="F434" s="71"/>
      <c r="G434" s="71"/>
      <c r="H434" s="71"/>
      <c r="I434" s="71"/>
      <c r="J434" s="71"/>
    </row>
    <row r="435" spans="4:10">
      <c r="D435" s="71"/>
      <c r="E435" s="71"/>
      <c r="F435" s="71"/>
      <c r="G435" s="71"/>
      <c r="H435" s="71"/>
      <c r="I435" s="71"/>
      <c r="J435" s="71"/>
    </row>
    <row r="436" spans="4:10">
      <c r="D436" s="71"/>
      <c r="E436" s="71"/>
      <c r="F436" s="71"/>
      <c r="G436" s="71"/>
      <c r="H436" s="71"/>
      <c r="I436" s="71"/>
      <c r="J436" s="71"/>
    </row>
    <row r="437" spans="4:10">
      <c r="D437" s="71"/>
      <c r="E437" s="71"/>
      <c r="F437" s="71"/>
      <c r="G437" s="71"/>
      <c r="H437" s="71"/>
      <c r="I437" s="71"/>
      <c r="J437" s="71"/>
    </row>
    <row r="438" spans="4:10">
      <c r="D438" s="71"/>
      <c r="E438" s="71"/>
      <c r="F438" s="71"/>
      <c r="G438" s="71"/>
      <c r="H438" s="71"/>
      <c r="I438" s="71"/>
      <c r="J438" s="71"/>
    </row>
    <row r="439" spans="4:10">
      <c r="D439" s="71"/>
      <c r="E439" s="71"/>
      <c r="F439" s="71"/>
      <c r="G439" s="71"/>
      <c r="H439" s="71"/>
      <c r="I439" s="71"/>
      <c r="J439" s="71"/>
    </row>
    <row r="440" spans="4:10">
      <c r="D440" s="71"/>
      <c r="E440" s="71"/>
      <c r="F440" s="71"/>
      <c r="G440" s="71"/>
      <c r="H440" s="71"/>
      <c r="I440" s="71"/>
      <c r="J440" s="71"/>
    </row>
    <row r="441" spans="4:10">
      <c r="D441" s="71"/>
      <c r="E441" s="71"/>
      <c r="F441" s="71"/>
      <c r="G441" s="71"/>
      <c r="H441" s="71"/>
      <c r="I441" s="71"/>
      <c r="J441" s="71"/>
    </row>
    <row r="442" spans="4:10">
      <c r="D442" s="71"/>
      <c r="E442" s="71"/>
      <c r="F442" s="71"/>
      <c r="G442" s="71"/>
      <c r="H442" s="71"/>
      <c r="I442" s="71"/>
      <c r="J442" s="71"/>
    </row>
    <row r="443" spans="4:10">
      <c r="D443" s="71"/>
      <c r="E443" s="71"/>
      <c r="F443" s="71"/>
      <c r="G443" s="71"/>
      <c r="H443" s="71"/>
      <c r="I443" s="71"/>
      <c r="J443" s="71"/>
    </row>
    <row r="444" spans="4:10">
      <c r="D444" s="71"/>
      <c r="E444" s="71"/>
      <c r="F444" s="71"/>
      <c r="G444" s="71"/>
      <c r="H444" s="71"/>
      <c r="I444" s="71"/>
      <c r="J444" s="71"/>
    </row>
    <row r="445" spans="4:10">
      <c r="D445" s="71"/>
      <c r="E445" s="71"/>
      <c r="F445" s="71"/>
      <c r="G445" s="71"/>
      <c r="H445" s="71"/>
      <c r="I445" s="71"/>
      <c r="J445" s="71"/>
    </row>
    <row r="446" spans="4:10">
      <c r="D446" s="71"/>
      <c r="E446" s="71"/>
      <c r="F446" s="71"/>
      <c r="G446" s="71"/>
      <c r="H446" s="71"/>
      <c r="I446" s="71"/>
      <c r="J446" s="71"/>
    </row>
    <row r="447" spans="4:10">
      <c r="D447" s="71"/>
      <c r="E447" s="71"/>
      <c r="F447" s="71"/>
      <c r="G447" s="71"/>
      <c r="H447" s="71"/>
      <c r="I447" s="71"/>
      <c r="J447" s="71"/>
    </row>
    <row r="448" spans="4:10">
      <c r="D448" s="71"/>
      <c r="E448" s="71"/>
      <c r="F448" s="71"/>
      <c r="G448" s="71"/>
      <c r="H448" s="71"/>
      <c r="I448" s="71"/>
      <c r="J448" s="71"/>
    </row>
    <row r="449" spans="4:10">
      <c r="D449" s="71"/>
      <c r="E449" s="71"/>
      <c r="F449" s="71"/>
      <c r="G449" s="71"/>
      <c r="H449" s="71"/>
      <c r="I449" s="71"/>
      <c r="J449" s="71"/>
    </row>
    <row r="450" spans="4:10">
      <c r="D450" s="71"/>
      <c r="E450" s="71"/>
      <c r="F450" s="71"/>
      <c r="G450" s="71"/>
      <c r="H450" s="71"/>
      <c r="I450" s="71"/>
      <c r="J450" s="71"/>
    </row>
    <row r="451" spans="4:10">
      <c r="D451" s="71"/>
      <c r="E451" s="71"/>
      <c r="F451" s="71"/>
      <c r="G451" s="71"/>
      <c r="H451" s="71"/>
      <c r="I451" s="71"/>
      <c r="J451" s="71"/>
    </row>
    <row r="452" spans="4:10">
      <c r="D452" s="71"/>
      <c r="E452" s="71"/>
      <c r="F452" s="71"/>
      <c r="G452" s="71"/>
      <c r="H452" s="71"/>
      <c r="I452" s="71"/>
      <c r="J452" s="71"/>
    </row>
    <row r="453" spans="4:10">
      <c r="D453" s="71"/>
      <c r="E453" s="71"/>
      <c r="F453" s="71"/>
      <c r="G453" s="71"/>
      <c r="H453" s="71"/>
      <c r="I453" s="71"/>
      <c r="J453" s="71"/>
    </row>
    <row r="454" spans="4:10">
      <c r="D454" s="71"/>
      <c r="E454" s="71"/>
      <c r="F454" s="71"/>
      <c r="G454" s="71"/>
      <c r="H454" s="71"/>
      <c r="I454" s="71"/>
      <c r="J454" s="71"/>
    </row>
    <row r="455" spans="4:10">
      <c r="D455" s="71"/>
      <c r="E455" s="71"/>
      <c r="F455" s="71"/>
      <c r="G455" s="71"/>
      <c r="H455" s="71"/>
      <c r="I455" s="71"/>
      <c r="J455" s="71"/>
    </row>
    <row r="456" spans="4:10">
      <c r="D456" s="71"/>
      <c r="E456" s="71"/>
      <c r="F456" s="71"/>
      <c r="G456" s="71"/>
      <c r="H456" s="71"/>
      <c r="I456" s="71"/>
      <c r="J456" s="71"/>
    </row>
    <row r="457" spans="4:10">
      <c r="D457" s="71"/>
      <c r="E457" s="71"/>
      <c r="F457" s="71"/>
      <c r="G457" s="71"/>
      <c r="H457" s="71"/>
      <c r="I457" s="71"/>
      <c r="J457" s="71"/>
    </row>
    <row r="458" spans="4:10">
      <c r="D458" s="71"/>
      <c r="E458" s="71"/>
      <c r="F458" s="71"/>
      <c r="G458" s="71"/>
      <c r="H458" s="71"/>
      <c r="I458" s="71"/>
      <c r="J458" s="71"/>
    </row>
    <row r="459" spans="4:10">
      <c r="D459" s="71"/>
      <c r="E459" s="71"/>
      <c r="F459" s="71"/>
      <c r="G459" s="71"/>
      <c r="H459" s="71"/>
      <c r="I459" s="71"/>
      <c r="J459" s="71"/>
    </row>
    <row r="460" spans="4:10">
      <c r="D460" s="71"/>
      <c r="E460" s="71"/>
      <c r="F460" s="71"/>
      <c r="G460" s="71"/>
      <c r="H460" s="71"/>
      <c r="I460" s="71"/>
      <c r="J460" s="71"/>
    </row>
    <row r="461" spans="4:10">
      <c r="D461" s="71"/>
      <c r="E461" s="71"/>
      <c r="F461" s="71"/>
      <c r="G461" s="71"/>
      <c r="H461" s="71"/>
      <c r="I461" s="71"/>
      <c r="J461" s="71"/>
    </row>
    <row r="462" spans="4:10">
      <c r="D462" s="71"/>
      <c r="E462" s="71"/>
      <c r="F462" s="71"/>
      <c r="G462" s="71"/>
      <c r="H462" s="71"/>
      <c r="I462" s="71"/>
      <c r="J462" s="71"/>
    </row>
    <row r="463" spans="4:10">
      <c r="D463" s="71"/>
      <c r="E463" s="71"/>
      <c r="F463" s="71"/>
      <c r="G463" s="71"/>
      <c r="H463" s="71"/>
      <c r="I463" s="71"/>
      <c r="J463" s="71"/>
    </row>
    <row r="464" spans="4:10">
      <c r="D464" s="71"/>
      <c r="E464" s="71"/>
      <c r="F464" s="71"/>
      <c r="G464" s="71"/>
      <c r="H464" s="71"/>
      <c r="I464" s="71"/>
      <c r="J464" s="71"/>
    </row>
    <row r="465" spans="4:10">
      <c r="D465" s="71"/>
      <c r="E465" s="71"/>
      <c r="F465" s="71"/>
      <c r="G465" s="71"/>
      <c r="H465" s="71"/>
      <c r="I465" s="71"/>
      <c r="J465" s="71"/>
    </row>
    <row r="466" spans="4:10">
      <c r="D466" s="71"/>
      <c r="E466" s="71"/>
      <c r="F466" s="71"/>
      <c r="G466" s="71"/>
      <c r="H466" s="71"/>
      <c r="I466" s="71"/>
      <c r="J466" s="71"/>
    </row>
    <row r="467" spans="4:10">
      <c r="D467" s="71"/>
      <c r="E467" s="71"/>
      <c r="F467" s="71"/>
      <c r="G467" s="71"/>
      <c r="H467" s="71"/>
      <c r="I467" s="71"/>
      <c r="J467" s="71"/>
    </row>
    <row r="468" spans="4:10">
      <c r="D468" s="71"/>
      <c r="E468" s="71"/>
      <c r="F468" s="71"/>
      <c r="G468" s="71"/>
      <c r="H468" s="71"/>
      <c r="I468" s="71"/>
      <c r="J468" s="71"/>
    </row>
    <row r="469" spans="4:10">
      <c r="D469" s="71"/>
      <c r="E469" s="71"/>
      <c r="F469" s="71"/>
      <c r="G469" s="71"/>
      <c r="H469" s="71"/>
      <c r="I469" s="71"/>
      <c r="J469" s="71"/>
    </row>
    <row r="470" spans="4:10">
      <c r="D470" s="71"/>
      <c r="E470" s="71"/>
      <c r="F470" s="71"/>
      <c r="G470" s="71"/>
      <c r="H470" s="71"/>
      <c r="I470" s="71"/>
      <c r="J470" s="71"/>
    </row>
    <row r="471" spans="4:10">
      <c r="D471" s="71"/>
      <c r="E471" s="71"/>
      <c r="F471" s="71"/>
      <c r="G471" s="71"/>
      <c r="H471" s="71"/>
      <c r="I471" s="71"/>
      <c r="J471" s="71"/>
    </row>
    <row r="472" spans="4:10">
      <c r="D472" s="71"/>
      <c r="E472" s="71"/>
      <c r="F472" s="71"/>
      <c r="G472" s="71"/>
      <c r="H472" s="71"/>
      <c r="I472" s="71"/>
      <c r="J472" s="71"/>
    </row>
    <row r="473" spans="4:10">
      <c r="D473" s="71"/>
      <c r="E473" s="71"/>
      <c r="F473" s="71"/>
      <c r="G473" s="71"/>
      <c r="H473" s="71"/>
      <c r="I473" s="71"/>
      <c r="J473" s="71"/>
    </row>
    <row r="474" spans="4:10">
      <c r="D474" s="71"/>
      <c r="E474" s="71"/>
      <c r="F474" s="71"/>
      <c r="G474" s="71"/>
      <c r="H474" s="71"/>
      <c r="I474" s="71"/>
      <c r="J474" s="71"/>
    </row>
    <row r="475" spans="4:10">
      <c r="D475" s="71"/>
      <c r="E475" s="71"/>
      <c r="F475" s="71"/>
      <c r="G475" s="71"/>
      <c r="H475" s="71"/>
      <c r="I475" s="71"/>
      <c r="J475" s="71"/>
    </row>
    <row r="476" spans="4:10">
      <c r="D476" s="71"/>
      <c r="E476" s="71"/>
      <c r="F476" s="71"/>
      <c r="G476" s="71"/>
      <c r="H476" s="71"/>
      <c r="I476" s="71"/>
      <c r="J476" s="71"/>
    </row>
    <row r="477" spans="4:10">
      <c r="D477" s="71"/>
      <c r="E477" s="71"/>
      <c r="F477" s="71"/>
      <c r="G477" s="71"/>
      <c r="H477" s="71"/>
      <c r="I477" s="71"/>
      <c r="J477" s="71"/>
    </row>
    <row r="478" spans="4:10">
      <c r="D478" s="71"/>
      <c r="E478" s="71"/>
      <c r="F478" s="71"/>
      <c r="G478" s="71"/>
      <c r="H478" s="71"/>
      <c r="I478" s="71"/>
      <c r="J478" s="71"/>
    </row>
    <row r="479" spans="4:10">
      <c r="D479" s="71"/>
      <c r="E479" s="71"/>
      <c r="F479" s="71"/>
      <c r="G479" s="71"/>
      <c r="H479" s="71"/>
      <c r="I479" s="71"/>
      <c r="J479" s="71"/>
    </row>
    <row r="480" spans="4:10">
      <c r="D480" s="71"/>
      <c r="E480" s="71"/>
      <c r="F480" s="71"/>
      <c r="G480" s="71"/>
      <c r="H480" s="71"/>
      <c r="I480" s="71"/>
      <c r="J480" s="71"/>
    </row>
    <row r="481" spans="4:10">
      <c r="D481" s="71"/>
      <c r="E481" s="71"/>
      <c r="F481" s="71"/>
      <c r="G481" s="71"/>
      <c r="H481" s="71"/>
      <c r="I481" s="71"/>
      <c r="J481" s="71"/>
    </row>
    <row r="482" spans="4:10">
      <c r="D482" s="71"/>
      <c r="E482" s="71"/>
      <c r="F482" s="71"/>
      <c r="G482" s="71"/>
      <c r="H482" s="71"/>
      <c r="I482" s="71"/>
      <c r="J482" s="71"/>
    </row>
    <row r="483" spans="4:10">
      <c r="D483" s="71"/>
      <c r="E483" s="71"/>
      <c r="F483" s="71"/>
      <c r="G483" s="71"/>
      <c r="H483" s="71"/>
      <c r="I483" s="71"/>
      <c r="J483" s="71"/>
    </row>
    <row r="484" spans="4:10">
      <c r="D484" s="71"/>
      <c r="E484" s="71"/>
      <c r="F484" s="71"/>
      <c r="G484" s="71"/>
      <c r="H484" s="71"/>
      <c r="I484" s="71"/>
      <c r="J484" s="71"/>
    </row>
    <row r="485" spans="4:10">
      <c r="D485" s="71"/>
      <c r="E485" s="71"/>
      <c r="F485" s="71"/>
      <c r="G485" s="71"/>
      <c r="H485" s="71"/>
      <c r="I485" s="71"/>
      <c r="J485" s="71"/>
    </row>
    <row r="486" spans="4:10">
      <c r="D486" s="71"/>
      <c r="E486" s="71"/>
      <c r="F486" s="71"/>
      <c r="G486" s="71"/>
      <c r="H486" s="71"/>
      <c r="I486" s="71"/>
      <c r="J486" s="71"/>
    </row>
    <row r="487" spans="4:10">
      <c r="D487" s="71"/>
      <c r="E487" s="71"/>
      <c r="F487" s="71"/>
      <c r="G487" s="71"/>
      <c r="H487" s="71"/>
      <c r="I487" s="71"/>
      <c r="J487" s="71"/>
    </row>
    <row r="488" spans="4:10">
      <c r="D488" s="71"/>
      <c r="E488" s="71"/>
      <c r="F488" s="71"/>
      <c r="G488" s="71"/>
      <c r="H488" s="71"/>
      <c r="I488" s="71"/>
      <c r="J488" s="71"/>
    </row>
    <row r="489" spans="4:10">
      <c r="D489" s="71"/>
      <c r="E489" s="71"/>
      <c r="F489" s="71"/>
      <c r="G489" s="71"/>
      <c r="H489" s="71"/>
      <c r="I489" s="71"/>
      <c r="J489" s="71"/>
    </row>
    <row r="490" spans="4:10">
      <c r="D490" s="71"/>
      <c r="E490" s="71"/>
      <c r="F490" s="71"/>
      <c r="G490" s="71"/>
      <c r="H490" s="71"/>
      <c r="I490" s="71"/>
      <c r="J490" s="71"/>
    </row>
    <row r="491" spans="4:10">
      <c r="D491" s="71"/>
      <c r="E491" s="71"/>
      <c r="F491" s="71"/>
      <c r="G491" s="71"/>
      <c r="H491" s="71"/>
      <c r="I491" s="71"/>
      <c r="J491" s="71"/>
    </row>
    <row r="492" spans="4:10">
      <c r="D492" s="71"/>
      <c r="E492" s="71"/>
      <c r="F492" s="71"/>
      <c r="G492" s="71"/>
      <c r="H492" s="71"/>
      <c r="I492" s="71"/>
      <c r="J492" s="71"/>
    </row>
    <row r="493" spans="4:10">
      <c r="D493" s="71"/>
      <c r="E493" s="71"/>
      <c r="F493" s="71"/>
      <c r="G493" s="71"/>
      <c r="H493" s="71"/>
      <c r="I493" s="71"/>
      <c r="J493" s="71"/>
    </row>
    <row r="494" spans="4:10">
      <c r="D494" s="71"/>
      <c r="E494" s="71"/>
      <c r="F494" s="71"/>
      <c r="G494" s="71"/>
      <c r="H494" s="71"/>
      <c r="I494" s="71"/>
      <c r="J494" s="71"/>
    </row>
    <row r="495" spans="4:10">
      <c r="D495" s="71"/>
      <c r="E495" s="71"/>
      <c r="F495" s="71"/>
      <c r="G495" s="71"/>
      <c r="H495" s="71"/>
      <c r="I495" s="71"/>
      <c r="J495" s="71"/>
    </row>
    <row r="496" spans="4:10">
      <c r="D496" s="71"/>
      <c r="E496" s="71"/>
      <c r="F496" s="71"/>
      <c r="G496" s="71"/>
      <c r="H496" s="71"/>
      <c r="I496" s="71"/>
      <c r="J496" s="71"/>
    </row>
    <row r="497" spans="4:10">
      <c r="D497" s="71"/>
      <c r="E497" s="71"/>
      <c r="F497" s="71"/>
      <c r="G497" s="71"/>
      <c r="H497" s="71"/>
      <c r="I497" s="71"/>
      <c r="J497" s="71"/>
    </row>
    <row r="498" spans="4:10">
      <c r="D498" s="71"/>
      <c r="E498" s="71"/>
      <c r="F498" s="71"/>
      <c r="G498" s="71"/>
      <c r="H498" s="71"/>
      <c r="I498" s="71"/>
      <c r="J498" s="71"/>
    </row>
    <row r="499" spans="4:10">
      <c r="D499" s="71"/>
      <c r="E499" s="71"/>
      <c r="F499" s="71"/>
      <c r="G499" s="71"/>
      <c r="H499" s="71"/>
      <c r="I499" s="71"/>
      <c r="J499" s="71"/>
    </row>
    <row r="500" spans="4:10">
      <c r="D500" s="71"/>
      <c r="E500" s="71"/>
      <c r="F500" s="71"/>
      <c r="G500" s="71"/>
      <c r="H500" s="71"/>
      <c r="I500" s="71"/>
      <c r="J500" s="71"/>
    </row>
    <row r="501" spans="4:10">
      <c r="D501" s="71"/>
      <c r="E501" s="71"/>
      <c r="F501" s="71"/>
      <c r="G501" s="71"/>
      <c r="H501" s="71"/>
      <c r="I501" s="71"/>
      <c r="J501" s="71"/>
    </row>
    <row r="502" spans="4:10">
      <c r="D502" s="71"/>
      <c r="E502" s="71"/>
      <c r="F502" s="71"/>
      <c r="G502" s="71"/>
      <c r="H502" s="71"/>
      <c r="I502" s="71"/>
      <c r="J502" s="71"/>
    </row>
    <row r="503" spans="4:10">
      <c r="D503" s="71"/>
      <c r="E503" s="71"/>
      <c r="F503" s="71"/>
      <c r="G503" s="71"/>
      <c r="H503" s="71"/>
      <c r="I503" s="71"/>
      <c r="J503" s="71"/>
    </row>
    <row r="504" spans="4:10">
      <c r="D504" s="71"/>
      <c r="E504" s="71"/>
      <c r="F504" s="71"/>
      <c r="G504" s="71"/>
      <c r="H504" s="71"/>
      <c r="I504" s="71"/>
      <c r="J504" s="71"/>
    </row>
    <row r="505" spans="4:10">
      <c r="D505" s="71"/>
      <c r="E505" s="71"/>
      <c r="F505" s="71"/>
      <c r="G505" s="71"/>
      <c r="H505" s="71"/>
      <c r="I505" s="71"/>
      <c r="J505" s="71"/>
    </row>
    <row r="506" spans="4:10">
      <c r="D506" s="71"/>
      <c r="E506" s="71"/>
      <c r="F506" s="71"/>
      <c r="G506" s="71"/>
      <c r="H506" s="71"/>
      <c r="I506" s="71"/>
      <c r="J506" s="71"/>
    </row>
    <row r="507" spans="4:10">
      <c r="D507" s="71"/>
      <c r="E507" s="71"/>
      <c r="F507" s="71"/>
      <c r="G507" s="71"/>
      <c r="H507" s="71"/>
      <c r="I507" s="71"/>
      <c r="J507" s="71"/>
    </row>
    <row r="508" spans="4:10">
      <c r="D508" s="71"/>
      <c r="E508" s="71"/>
      <c r="F508" s="71"/>
      <c r="G508" s="71"/>
      <c r="H508" s="71"/>
      <c r="I508" s="71"/>
      <c r="J508" s="71"/>
    </row>
    <row r="509" spans="4:10">
      <c r="D509" s="71"/>
      <c r="E509" s="71"/>
      <c r="F509" s="71"/>
      <c r="G509" s="71"/>
      <c r="H509" s="71"/>
      <c r="I509" s="71"/>
      <c r="J509" s="71"/>
    </row>
    <row r="510" spans="4:10">
      <c r="D510" s="71"/>
      <c r="E510" s="71"/>
      <c r="F510" s="71"/>
      <c r="G510" s="71"/>
      <c r="H510" s="71"/>
      <c r="I510" s="71"/>
      <c r="J510" s="71"/>
    </row>
    <row r="511" spans="4:10">
      <c r="D511" s="71"/>
      <c r="E511" s="71"/>
      <c r="F511" s="71"/>
      <c r="G511" s="71"/>
      <c r="H511" s="71"/>
      <c r="I511" s="71"/>
      <c r="J511" s="71"/>
    </row>
    <row r="512" spans="4:10">
      <c r="D512" s="71"/>
      <c r="E512" s="71"/>
      <c r="F512" s="71"/>
      <c r="G512" s="71"/>
      <c r="H512" s="71"/>
      <c r="I512" s="71"/>
      <c r="J512" s="71"/>
    </row>
    <row r="513" spans="4:10">
      <c r="D513" s="71"/>
      <c r="E513" s="71"/>
      <c r="F513" s="71"/>
      <c r="G513" s="71"/>
      <c r="H513" s="71"/>
      <c r="I513" s="71"/>
      <c r="J513" s="71"/>
    </row>
    <row r="514" spans="4:10">
      <c r="D514" s="71"/>
      <c r="E514" s="71"/>
      <c r="F514" s="71"/>
      <c r="G514" s="71"/>
      <c r="H514" s="71"/>
      <c r="I514" s="71"/>
      <c r="J514" s="71"/>
    </row>
    <row r="515" spans="4:10">
      <c r="D515" s="71"/>
      <c r="E515" s="71"/>
      <c r="F515" s="71"/>
      <c r="G515" s="71"/>
      <c r="H515" s="71"/>
      <c r="I515" s="71"/>
      <c r="J515" s="71"/>
    </row>
    <row r="516" spans="4:10">
      <c r="D516" s="71"/>
      <c r="E516" s="71"/>
      <c r="F516" s="71"/>
      <c r="G516" s="71"/>
      <c r="H516" s="71"/>
      <c r="I516" s="71"/>
      <c r="J516" s="71"/>
    </row>
    <row r="517" spans="4:10">
      <c r="D517" s="71"/>
      <c r="E517" s="71"/>
      <c r="F517" s="71"/>
      <c r="G517" s="71"/>
      <c r="H517" s="71"/>
      <c r="I517" s="71"/>
      <c r="J517" s="71"/>
    </row>
    <row r="518" spans="4:10">
      <c r="D518" s="71"/>
      <c r="E518" s="71"/>
      <c r="F518" s="71"/>
      <c r="G518" s="71"/>
      <c r="H518" s="71"/>
      <c r="I518" s="71"/>
      <c r="J518" s="71"/>
    </row>
    <row r="519" spans="4:10">
      <c r="D519" s="71"/>
      <c r="E519" s="71"/>
      <c r="F519" s="71"/>
      <c r="G519" s="71"/>
      <c r="H519" s="71"/>
      <c r="I519" s="71"/>
      <c r="J519" s="71"/>
    </row>
    <row r="520" spans="4:10">
      <c r="D520" s="71"/>
      <c r="E520" s="71"/>
      <c r="F520" s="71"/>
      <c r="G520" s="71"/>
      <c r="H520" s="71"/>
      <c r="I520" s="71"/>
      <c r="J520" s="71"/>
    </row>
    <row r="521" spans="4:10">
      <c r="D521" s="71"/>
      <c r="E521" s="71"/>
      <c r="F521" s="71"/>
      <c r="G521" s="71"/>
      <c r="H521" s="71"/>
      <c r="I521" s="71"/>
      <c r="J521" s="71"/>
    </row>
    <row r="522" spans="4:10">
      <c r="D522" s="71"/>
      <c r="E522" s="71"/>
      <c r="F522" s="71"/>
      <c r="G522" s="71"/>
      <c r="H522" s="71"/>
      <c r="I522" s="71"/>
      <c r="J522" s="71"/>
    </row>
    <row r="523" spans="4:10">
      <c r="D523" s="71"/>
      <c r="E523" s="71"/>
      <c r="F523" s="71"/>
      <c r="G523" s="71"/>
      <c r="H523" s="71"/>
      <c r="I523" s="71"/>
      <c r="J523" s="71"/>
    </row>
    <row r="524" spans="4:10">
      <c r="D524" s="71"/>
      <c r="E524" s="71"/>
      <c r="F524" s="71"/>
      <c r="G524" s="71"/>
      <c r="H524" s="71"/>
      <c r="I524" s="71"/>
      <c r="J524" s="71"/>
    </row>
    <row r="525" spans="4:10">
      <c r="D525" s="71"/>
      <c r="E525" s="71"/>
      <c r="F525" s="71"/>
      <c r="G525" s="71"/>
      <c r="H525" s="71"/>
      <c r="I525" s="71"/>
      <c r="J525" s="71"/>
    </row>
    <row r="526" spans="4:10">
      <c r="D526" s="71"/>
      <c r="E526" s="71"/>
      <c r="F526" s="71"/>
      <c r="G526" s="71"/>
      <c r="H526" s="71"/>
      <c r="I526" s="71"/>
      <c r="J526" s="71"/>
    </row>
    <row r="527" spans="4:10">
      <c r="D527" s="71"/>
      <c r="E527" s="71"/>
      <c r="F527" s="71"/>
      <c r="G527" s="71"/>
      <c r="H527" s="71"/>
      <c r="I527" s="71"/>
      <c r="J527" s="71"/>
    </row>
    <row r="528" spans="4:10">
      <c r="D528" s="71"/>
      <c r="E528" s="71"/>
      <c r="F528" s="71"/>
      <c r="G528" s="71"/>
      <c r="H528" s="71"/>
      <c r="I528" s="71"/>
      <c r="J528" s="71"/>
    </row>
    <row r="529" spans="4:10">
      <c r="D529" s="71"/>
      <c r="E529" s="71"/>
      <c r="F529" s="71"/>
      <c r="G529" s="71"/>
      <c r="H529" s="71"/>
      <c r="I529" s="71"/>
      <c r="J529" s="71"/>
    </row>
    <row r="530" spans="4:10">
      <c r="D530" s="71"/>
      <c r="E530" s="71"/>
      <c r="F530" s="71"/>
      <c r="G530" s="71"/>
      <c r="H530" s="71"/>
      <c r="I530" s="71"/>
      <c r="J530" s="71"/>
    </row>
    <row r="531" spans="4:10">
      <c r="D531" s="71"/>
      <c r="E531" s="71"/>
      <c r="F531" s="71"/>
      <c r="G531" s="71"/>
      <c r="H531" s="71"/>
      <c r="I531" s="71"/>
      <c r="J531" s="71"/>
    </row>
    <row r="532" spans="4:10">
      <c r="D532" s="71"/>
      <c r="E532" s="71"/>
      <c r="F532" s="71"/>
      <c r="G532" s="71"/>
      <c r="H532" s="71"/>
      <c r="I532" s="71"/>
      <c r="J532" s="71"/>
    </row>
    <row r="533" spans="4:10">
      <c r="D533" s="71"/>
      <c r="E533" s="71"/>
      <c r="F533" s="71"/>
      <c r="G533" s="71"/>
      <c r="H533" s="71"/>
      <c r="I533" s="71"/>
      <c r="J533" s="71"/>
    </row>
    <row r="534" spans="4:10">
      <c r="D534" s="71"/>
      <c r="E534" s="71"/>
      <c r="F534" s="71"/>
      <c r="G534" s="71"/>
      <c r="H534" s="71"/>
      <c r="I534" s="71"/>
      <c r="J534" s="71"/>
    </row>
    <row r="535" spans="4:10">
      <c r="D535" s="71"/>
      <c r="E535" s="71"/>
      <c r="F535" s="71"/>
      <c r="G535" s="71"/>
      <c r="H535" s="71"/>
      <c r="I535" s="71"/>
      <c r="J535" s="71"/>
    </row>
    <row r="536" spans="4:10">
      <c r="D536" s="71"/>
      <c r="E536" s="71"/>
      <c r="F536" s="71"/>
      <c r="G536" s="71"/>
      <c r="H536" s="71"/>
      <c r="I536" s="71"/>
      <c r="J536" s="71"/>
    </row>
    <row r="537" spans="4:10">
      <c r="D537" s="71"/>
      <c r="E537" s="71"/>
      <c r="F537" s="71"/>
      <c r="G537" s="71"/>
      <c r="H537" s="71"/>
      <c r="I537" s="71"/>
      <c r="J537" s="71"/>
    </row>
    <row r="538" spans="4:10">
      <c r="D538" s="71"/>
      <c r="E538" s="71"/>
      <c r="F538" s="71"/>
      <c r="G538" s="71"/>
      <c r="H538" s="71"/>
      <c r="I538" s="71"/>
      <c r="J538" s="71"/>
    </row>
    <row r="539" spans="4:10">
      <c r="D539" s="71"/>
      <c r="E539" s="71"/>
      <c r="F539" s="71"/>
      <c r="G539" s="71"/>
      <c r="H539" s="71"/>
      <c r="I539" s="71"/>
      <c r="J539" s="71"/>
    </row>
    <row r="540" spans="4:10">
      <c r="D540" s="71"/>
      <c r="E540" s="71"/>
      <c r="F540" s="71"/>
      <c r="G540" s="71"/>
      <c r="H540" s="71"/>
      <c r="I540" s="71"/>
      <c r="J540" s="71"/>
    </row>
    <row r="541" spans="4:10">
      <c r="D541" s="71"/>
      <c r="E541" s="71"/>
      <c r="F541" s="71"/>
      <c r="G541" s="71"/>
      <c r="H541" s="71"/>
      <c r="I541" s="71"/>
      <c r="J541" s="71"/>
    </row>
    <row r="542" spans="4:10">
      <c r="D542" s="71"/>
      <c r="E542" s="71"/>
      <c r="F542" s="71"/>
      <c r="G542" s="71"/>
      <c r="H542" s="71"/>
      <c r="I542" s="71"/>
      <c r="J542" s="71"/>
    </row>
    <row r="543" spans="4:10">
      <c r="D543" s="71"/>
      <c r="E543" s="71"/>
      <c r="F543" s="71"/>
      <c r="G543" s="71"/>
      <c r="H543" s="71"/>
      <c r="I543" s="71"/>
      <c r="J543" s="71"/>
    </row>
    <row r="544" spans="4:10">
      <c r="D544" s="71"/>
      <c r="E544" s="71"/>
      <c r="F544" s="71"/>
      <c r="G544" s="71"/>
      <c r="H544" s="71"/>
      <c r="I544" s="71"/>
      <c r="J544" s="71"/>
    </row>
    <row r="545" spans="4:10">
      <c r="D545" s="71"/>
      <c r="E545" s="71"/>
      <c r="F545" s="71"/>
      <c r="G545" s="71"/>
      <c r="H545" s="71"/>
      <c r="I545" s="71"/>
      <c r="J545" s="71"/>
    </row>
    <row r="546" spans="4:10">
      <c r="D546" s="71"/>
      <c r="E546" s="71"/>
      <c r="F546" s="71"/>
      <c r="G546" s="71"/>
      <c r="H546" s="71"/>
      <c r="I546" s="71"/>
      <c r="J546" s="71"/>
    </row>
    <row r="547" spans="4:10">
      <c r="D547" s="71"/>
      <c r="E547" s="71"/>
      <c r="F547" s="71"/>
      <c r="G547" s="71"/>
      <c r="H547" s="71"/>
      <c r="I547" s="71"/>
      <c r="J547" s="71"/>
    </row>
    <row r="548" spans="4:10">
      <c r="D548" s="71"/>
      <c r="E548" s="71"/>
      <c r="F548" s="71"/>
      <c r="G548" s="71"/>
      <c r="H548" s="71"/>
      <c r="I548" s="71"/>
      <c r="J548" s="71"/>
    </row>
    <row r="549" spans="4:10">
      <c r="D549" s="71"/>
      <c r="E549" s="71"/>
      <c r="F549" s="71"/>
      <c r="G549" s="71"/>
      <c r="H549" s="71"/>
      <c r="I549" s="71"/>
      <c r="J549" s="71"/>
    </row>
    <row r="550" spans="4:10">
      <c r="D550" s="71"/>
      <c r="E550" s="71"/>
      <c r="F550" s="71"/>
      <c r="G550" s="71"/>
      <c r="H550" s="71"/>
      <c r="I550" s="71"/>
      <c r="J550" s="71"/>
    </row>
    <row r="551" spans="4:10">
      <c r="D551" s="71"/>
      <c r="E551" s="71"/>
      <c r="F551" s="71"/>
      <c r="G551" s="71"/>
      <c r="H551" s="71"/>
      <c r="I551" s="71"/>
      <c r="J551" s="71"/>
    </row>
    <row r="552" spans="4:10">
      <c r="D552" s="71"/>
      <c r="E552" s="71"/>
      <c r="F552" s="71"/>
      <c r="G552" s="71"/>
      <c r="H552" s="71"/>
      <c r="I552" s="71"/>
      <c r="J552" s="71"/>
    </row>
    <row r="553" spans="4:10">
      <c r="D553" s="71"/>
      <c r="E553" s="71"/>
      <c r="F553" s="71"/>
      <c r="G553" s="71"/>
      <c r="H553" s="71"/>
      <c r="I553" s="71"/>
      <c r="J553" s="71"/>
    </row>
    <row r="554" spans="4:10">
      <c r="D554" s="71"/>
      <c r="E554" s="71"/>
      <c r="F554" s="71"/>
      <c r="G554" s="71"/>
      <c r="H554" s="71"/>
      <c r="I554" s="71"/>
      <c r="J554" s="71"/>
    </row>
    <row r="555" spans="4:10">
      <c r="D555" s="71"/>
      <c r="E555" s="71"/>
      <c r="F555" s="71"/>
      <c r="G555" s="71"/>
      <c r="H555" s="71"/>
      <c r="I555" s="71"/>
      <c r="J555" s="71"/>
    </row>
    <row r="556" spans="4:10">
      <c r="D556" s="71"/>
      <c r="E556" s="71"/>
      <c r="F556" s="71"/>
      <c r="G556" s="71"/>
      <c r="H556" s="71"/>
      <c r="I556" s="71"/>
      <c r="J556" s="71"/>
    </row>
    <row r="557" spans="4:10">
      <c r="D557" s="71"/>
      <c r="E557" s="71"/>
      <c r="F557" s="71"/>
      <c r="G557" s="71"/>
      <c r="H557" s="71"/>
      <c r="I557" s="71"/>
      <c r="J557" s="71"/>
    </row>
    <row r="558" spans="4:10">
      <c r="D558" s="71"/>
      <c r="E558" s="71"/>
      <c r="F558" s="71"/>
      <c r="G558" s="71"/>
      <c r="H558" s="71"/>
      <c r="I558" s="71"/>
      <c r="J558" s="71"/>
    </row>
    <row r="559" spans="4:10">
      <c r="D559" s="71"/>
      <c r="E559" s="71"/>
      <c r="F559" s="71"/>
      <c r="G559" s="71"/>
      <c r="H559" s="71"/>
      <c r="I559" s="71"/>
      <c r="J559" s="71"/>
    </row>
    <row r="560" spans="4:10">
      <c r="D560" s="71"/>
      <c r="E560" s="71"/>
      <c r="F560" s="71"/>
      <c r="G560" s="71"/>
      <c r="H560" s="71"/>
      <c r="I560" s="71"/>
      <c r="J560" s="71"/>
    </row>
    <row r="561" spans="4:10">
      <c r="D561" s="71"/>
      <c r="E561" s="71"/>
      <c r="F561" s="71"/>
      <c r="G561" s="71"/>
      <c r="H561" s="71"/>
      <c r="I561" s="71"/>
      <c r="J561" s="71"/>
    </row>
    <row r="562" spans="4:10">
      <c r="D562" s="71"/>
      <c r="E562" s="71"/>
      <c r="F562" s="71"/>
      <c r="G562" s="71"/>
      <c r="H562" s="71"/>
      <c r="I562" s="71"/>
      <c r="J562" s="71"/>
    </row>
    <row r="563" spans="4:10">
      <c r="D563" s="71"/>
      <c r="E563" s="71"/>
      <c r="F563" s="71"/>
      <c r="G563" s="71"/>
      <c r="H563" s="71"/>
      <c r="I563" s="71"/>
      <c r="J563" s="71"/>
    </row>
    <row r="564" spans="4:10">
      <c r="D564" s="71"/>
      <c r="E564" s="71"/>
      <c r="F564" s="71"/>
      <c r="G564" s="71"/>
      <c r="H564" s="71"/>
      <c r="I564" s="71"/>
      <c r="J564" s="71"/>
    </row>
    <row r="565" spans="4:10">
      <c r="D565" s="71"/>
      <c r="E565" s="71"/>
      <c r="F565" s="71"/>
      <c r="G565" s="71"/>
      <c r="H565" s="71"/>
      <c r="I565" s="71"/>
      <c r="J565" s="71"/>
    </row>
    <row r="566" spans="4:10">
      <c r="D566" s="71"/>
      <c r="E566" s="71"/>
      <c r="F566" s="71"/>
      <c r="G566" s="71"/>
      <c r="H566" s="71"/>
      <c r="I566" s="71"/>
      <c r="J566" s="71"/>
    </row>
    <row r="567" spans="4:10">
      <c r="D567" s="71"/>
      <c r="E567" s="71"/>
      <c r="F567" s="71"/>
      <c r="G567" s="71"/>
      <c r="H567" s="71"/>
      <c r="I567" s="71"/>
      <c r="J567" s="71"/>
    </row>
    <row r="568" spans="4:10">
      <c r="D568" s="71"/>
      <c r="E568" s="71"/>
      <c r="F568" s="71"/>
      <c r="G568" s="71"/>
      <c r="H568" s="71"/>
      <c r="I568" s="71"/>
      <c r="J568" s="71"/>
    </row>
    <row r="569" spans="4:10">
      <c r="D569" s="71"/>
      <c r="E569" s="71"/>
      <c r="F569" s="71"/>
      <c r="G569" s="71"/>
      <c r="H569" s="71"/>
      <c r="I569" s="71"/>
      <c r="J569" s="71"/>
    </row>
    <row r="570" spans="4:10">
      <c r="D570" s="71"/>
      <c r="E570" s="71"/>
      <c r="F570" s="71"/>
      <c r="G570" s="71"/>
      <c r="H570" s="71"/>
      <c r="I570" s="71"/>
      <c r="J570" s="71"/>
    </row>
    <row r="571" spans="4:10">
      <c r="D571" s="71"/>
      <c r="E571" s="71"/>
      <c r="F571" s="71"/>
      <c r="G571" s="71"/>
      <c r="H571" s="71"/>
      <c r="I571" s="71"/>
      <c r="J571" s="71"/>
    </row>
    <row r="572" spans="4:10">
      <c r="D572" s="71"/>
      <c r="E572" s="71"/>
      <c r="F572" s="71"/>
      <c r="G572" s="71"/>
      <c r="H572" s="71"/>
      <c r="I572" s="71"/>
      <c r="J572" s="71"/>
    </row>
    <row r="573" spans="4:10">
      <c r="D573" s="71"/>
      <c r="E573" s="71"/>
      <c r="F573" s="71"/>
      <c r="G573" s="71"/>
      <c r="H573" s="71"/>
      <c r="I573" s="71"/>
      <c r="J573" s="71"/>
    </row>
    <row r="574" spans="4:10">
      <c r="D574" s="71"/>
      <c r="E574" s="71"/>
      <c r="F574" s="71"/>
      <c r="G574" s="71"/>
      <c r="H574" s="71"/>
      <c r="I574" s="71"/>
      <c r="J574" s="71"/>
    </row>
    <row r="575" spans="4:10">
      <c r="D575" s="71"/>
      <c r="E575" s="71"/>
      <c r="F575" s="71"/>
      <c r="G575" s="71"/>
      <c r="H575" s="71"/>
      <c r="I575" s="71"/>
      <c r="J575" s="71"/>
    </row>
    <row r="576" spans="4:10">
      <c r="D576" s="71"/>
      <c r="E576" s="71"/>
      <c r="F576" s="71"/>
      <c r="G576" s="71"/>
      <c r="H576" s="71"/>
      <c r="I576" s="71"/>
      <c r="J576" s="71"/>
    </row>
    <row r="577" spans="4:10">
      <c r="D577" s="71"/>
      <c r="E577" s="71"/>
      <c r="F577" s="71"/>
      <c r="G577" s="71"/>
      <c r="H577" s="71"/>
      <c r="I577" s="71"/>
      <c r="J577" s="71"/>
    </row>
    <row r="578" spans="4:10">
      <c r="D578" s="71"/>
      <c r="E578" s="71"/>
      <c r="F578" s="71"/>
      <c r="G578" s="71"/>
      <c r="H578" s="71"/>
      <c r="I578" s="71"/>
      <c r="J578" s="71"/>
    </row>
    <row r="579" spans="4:10">
      <c r="D579" s="71"/>
      <c r="E579" s="71"/>
      <c r="F579" s="71"/>
      <c r="G579" s="71"/>
      <c r="H579" s="71"/>
      <c r="I579" s="71"/>
      <c r="J579" s="71"/>
    </row>
    <row r="580" spans="4:10">
      <c r="D580" s="71"/>
      <c r="E580" s="71"/>
      <c r="F580" s="71"/>
      <c r="G580" s="71"/>
      <c r="H580" s="71"/>
      <c r="I580" s="71"/>
      <c r="J580" s="71"/>
    </row>
    <row r="581" spans="4:10">
      <c r="D581" s="71"/>
      <c r="E581" s="71"/>
      <c r="F581" s="71"/>
      <c r="G581" s="71"/>
      <c r="H581" s="71"/>
      <c r="I581" s="71"/>
      <c r="J581" s="71"/>
    </row>
    <row r="582" spans="4:10">
      <c r="D582" s="71"/>
      <c r="E582" s="71"/>
      <c r="F582" s="71"/>
      <c r="G582" s="71"/>
      <c r="H582" s="71"/>
      <c r="I582" s="71"/>
      <c r="J582" s="71"/>
    </row>
    <row r="583" spans="4:10">
      <c r="D583" s="71"/>
      <c r="E583" s="71"/>
      <c r="F583" s="71"/>
      <c r="G583" s="71"/>
      <c r="H583" s="71"/>
      <c r="I583" s="71"/>
      <c r="J583" s="71"/>
    </row>
    <row r="584" spans="4:10">
      <c r="D584" s="71"/>
      <c r="E584" s="71"/>
      <c r="F584" s="71"/>
      <c r="G584" s="71"/>
      <c r="H584" s="71"/>
      <c r="I584" s="71"/>
      <c r="J584" s="71"/>
    </row>
    <row r="585" spans="4:10">
      <c r="D585" s="71"/>
      <c r="E585" s="71"/>
      <c r="F585" s="71"/>
      <c r="G585" s="71"/>
      <c r="H585" s="71"/>
      <c r="I585" s="71"/>
      <c r="J585" s="71"/>
    </row>
    <row r="586" spans="4:10">
      <c r="D586" s="71"/>
      <c r="E586" s="71"/>
      <c r="F586" s="71"/>
      <c r="G586" s="71"/>
      <c r="H586" s="71"/>
      <c r="I586" s="71"/>
      <c r="J586" s="71"/>
    </row>
    <row r="587" spans="4:10">
      <c r="D587" s="71"/>
      <c r="E587" s="71"/>
      <c r="F587" s="71"/>
      <c r="G587" s="71"/>
      <c r="H587" s="71"/>
      <c r="I587" s="71"/>
      <c r="J587" s="71"/>
    </row>
    <row r="588" spans="4:10">
      <c r="D588" s="71"/>
      <c r="E588" s="71"/>
      <c r="F588" s="71"/>
      <c r="G588" s="71"/>
      <c r="H588" s="71"/>
      <c r="I588" s="71"/>
      <c r="J588" s="71"/>
    </row>
    <row r="589" spans="4:10">
      <c r="D589" s="71"/>
      <c r="E589" s="71"/>
      <c r="F589" s="71"/>
      <c r="G589" s="71"/>
      <c r="H589" s="71"/>
      <c r="I589" s="71"/>
      <c r="J589" s="71"/>
    </row>
    <row r="590" spans="4:10">
      <c r="D590" s="71"/>
      <c r="E590" s="71"/>
      <c r="F590" s="71"/>
      <c r="G590" s="71"/>
      <c r="H590" s="71"/>
      <c r="I590" s="71"/>
      <c r="J590" s="71"/>
    </row>
    <row r="591" spans="4:10">
      <c r="D591" s="71"/>
      <c r="E591" s="71"/>
      <c r="F591" s="71"/>
      <c r="G591" s="71"/>
      <c r="H591" s="71"/>
      <c r="I591" s="71"/>
      <c r="J591" s="71"/>
    </row>
    <row r="592" spans="4:10">
      <c r="D592" s="71"/>
      <c r="E592" s="71"/>
      <c r="F592" s="71"/>
      <c r="G592" s="71"/>
      <c r="H592" s="71"/>
      <c r="I592" s="71"/>
      <c r="J592" s="71"/>
    </row>
    <row r="593" spans="4:10">
      <c r="D593" s="71"/>
      <c r="E593" s="71"/>
      <c r="F593" s="71"/>
      <c r="G593" s="71"/>
      <c r="H593" s="71"/>
      <c r="I593" s="71"/>
      <c r="J593" s="71"/>
    </row>
    <row r="594" spans="4:10">
      <c r="D594" s="71"/>
      <c r="E594" s="71"/>
      <c r="F594" s="71"/>
      <c r="G594" s="71"/>
      <c r="H594" s="71"/>
      <c r="I594" s="71"/>
      <c r="J594" s="71"/>
    </row>
    <row r="595" spans="4:10">
      <c r="D595" s="71"/>
      <c r="E595" s="71"/>
      <c r="F595" s="71"/>
      <c r="G595" s="71"/>
      <c r="H595" s="71"/>
      <c r="I595" s="71"/>
      <c r="J595" s="71"/>
    </row>
    <row r="596" spans="4:10">
      <c r="D596" s="71"/>
      <c r="E596" s="71"/>
      <c r="F596" s="71"/>
      <c r="G596" s="71"/>
      <c r="H596" s="71"/>
      <c r="I596" s="71"/>
      <c r="J596" s="71"/>
    </row>
    <row r="597" spans="4:10">
      <c r="D597" s="71"/>
      <c r="E597" s="71"/>
      <c r="F597" s="71"/>
      <c r="G597" s="71"/>
      <c r="H597" s="71"/>
      <c r="I597" s="71"/>
      <c r="J597" s="71"/>
    </row>
    <row r="598" spans="4:10">
      <c r="D598" s="71"/>
      <c r="E598" s="71"/>
      <c r="F598" s="71"/>
      <c r="G598" s="71"/>
      <c r="H598" s="71"/>
      <c r="I598" s="71"/>
      <c r="J598" s="71"/>
    </row>
    <row r="599" spans="4:10">
      <c r="D599" s="71"/>
      <c r="E599" s="71"/>
      <c r="F599" s="71"/>
      <c r="G599" s="71"/>
      <c r="H599" s="71"/>
      <c r="I599" s="71"/>
      <c r="J599" s="71"/>
    </row>
    <row r="600" spans="4:10">
      <c r="D600" s="71"/>
      <c r="E600" s="71"/>
      <c r="F600" s="71"/>
      <c r="G600" s="71"/>
      <c r="H600" s="71"/>
      <c r="I600" s="71"/>
      <c r="J600" s="71"/>
    </row>
    <row r="601" spans="4:10">
      <c r="D601" s="71"/>
      <c r="E601" s="71"/>
      <c r="F601" s="71"/>
      <c r="G601" s="71"/>
      <c r="H601" s="71"/>
      <c r="I601" s="71"/>
      <c r="J601" s="71"/>
    </row>
    <row r="602" spans="4:10">
      <c r="D602" s="71"/>
      <c r="E602" s="71"/>
      <c r="F602" s="71"/>
      <c r="G602" s="71"/>
      <c r="H602" s="71"/>
      <c r="I602" s="71"/>
      <c r="J602" s="71"/>
    </row>
    <row r="603" spans="4:10">
      <c r="D603" s="71"/>
      <c r="E603" s="71"/>
      <c r="F603" s="71"/>
      <c r="G603" s="71"/>
      <c r="H603" s="71"/>
      <c r="I603" s="71"/>
      <c r="J603" s="71"/>
    </row>
    <row r="604" spans="4:10">
      <c r="D604" s="71"/>
      <c r="E604" s="71"/>
      <c r="F604" s="71"/>
      <c r="G604" s="71"/>
      <c r="H604" s="71"/>
      <c r="I604" s="71"/>
      <c r="J604" s="71"/>
    </row>
    <row r="605" spans="4:10">
      <c r="D605" s="71"/>
      <c r="E605" s="71"/>
      <c r="F605" s="71"/>
      <c r="G605" s="71"/>
      <c r="H605" s="71"/>
      <c r="I605" s="71"/>
      <c r="J605" s="71"/>
    </row>
    <row r="606" spans="4:10">
      <c r="D606" s="71"/>
      <c r="E606" s="71"/>
      <c r="F606" s="71"/>
      <c r="G606" s="71"/>
      <c r="H606" s="71"/>
      <c r="I606" s="71"/>
      <c r="J606" s="71"/>
    </row>
    <row r="607" spans="4:10">
      <c r="D607" s="71"/>
      <c r="E607" s="71"/>
      <c r="F607" s="71"/>
      <c r="G607" s="71"/>
      <c r="H607" s="71"/>
      <c r="I607" s="71"/>
      <c r="J607" s="71"/>
    </row>
    <row r="608" spans="4:10">
      <c r="D608" s="71"/>
      <c r="E608" s="71"/>
      <c r="F608" s="71"/>
      <c r="G608" s="71"/>
      <c r="H608" s="71"/>
      <c r="I608" s="71"/>
      <c r="J608" s="71"/>
    </row>
    <row r="609" spans="4:10">
      <c r="D609" s="71"/>
      <c r="E609" s="71"/>
      <c r="F609" s="71"/>
      <c r="G609" s="71"/>
      <c r="H609" s="71"/>
      <c r="I609" s="71"/>
      <c r="J609" s="71"/>
    </row>
    <row r="610" spans="4:10">
      <c r="D610" s="71"/>
      <c r="E610" s="71"/>
      <c r="F610" s="71"/>
      <c r="G610" s="71"/>
      <c r="H610" s="71"/>
      <c r="I610" s="71"/>
      <c r="J610" s="71"/>
    </row>
    <row r="611" spans="4:10">
      <c r="D611" s="71"/>
      <c r="E611" s="71"/>
      <c r="F611" s="71"/>
      <c r="G611" s="71"/>
      <c r="H611" s="71"/>
      <c r="I611" s="71"/>
      <c r="J611" s="71"/>
    </row>
    <row r="612" spans="4:10">
      <c r="D612" s="71"/>
      <c r="E612" s="71"/>
      <c r="F612" s="71"/>
      <c r="G612" s="71"/>
      <c r="H612" s="71"/>
      <c r="I612" s="71"/>
      <c r="J612" s="71"/>
    </row>
    <row r="613" spans="4:10">
      <c r="D613" s="71"/>
      <c r="E613" s="71"/>
      <c r="F613" s="71"/>
      <c r="G613" s="71"/>
      <c r="H613" s="71"/>
      <c r="I613" s="71"/>
      <c r="J613" s="71"/>
    </row>
    <row r="614" spans="4:10">
      <c r="D614" s="71"/>
      <c r="E614" s="71"/>
      <c r="F614" s="71"/>
      <c r="G614" s="71"/>
      <c r="H614" s="71"/>
      <c r="I614" s="71"/>
      <c r="J614" s="71"/>
    </row>
    <row r="615" spans="4:10">
      <c r="D615" s="71"/>
      <c r="E615" s="71"/>
      <c r="F615" s="71"/>
      <c r="G615" s="71"/>
      <c r="H615" s="71"/>
      <c r="I615" s="71"/>
      <c r="J615" s="71"/>
    </row>
    <row r="616" spans="4:10">
      <c r="D616" s="71"/>
      <c r="E616" s="71"/>
      <c r="F616" s="71"/>
      <c r="G616" s="71"/>
      <c r="H616" s="71"/>
      <c r="I616" s="71"/>
      <c r="J616" s="71"/>
    </row>
    <row r="617" spans="4:10">
      <c r="D617" s="71"/>
      <c r="E617" s="71"/>
      <c r="F617" s="71"/>
      <c r="G617" s="71"/>
      <c r="H617" s="71"/>
      <c r="I617" s="71"/>
      <c r="J617" s="71"/>
    </row>
    <row r="618" spans="4:10">
      <c r="D618" s="71"/>
      <c r="E618" s="71"/>
      <c r="F618" s="71"/>
      <c r="G618" s="71"/>
      <c r="H618" s="71"/>
      <c r="I618" s="71"/>
      <c r="J618" s="71"/>
    </row>
    <row r="619" spans="4:10">
      <c r="D619" s="71"/>
      <c r="E619" s="71"/>
      <c r="F619" s="71"/>
      <c r="G619" s="71"/>
      <c r="H619" s="71"/>
      <c r="I619" s="71"/>
      <c r="J619" s="71"/>
    </row>
    <row r="620" spans="4:10">
      <c r="D620" s="71"/>
      <c r="E620" s="71"/>
      <c r="F620" s="71"/>
      <c r="G620" s="71"/>
      <c r="H620" s="71"/>
      <c r="I620" s="71"/>
      <c r="J620" s="71"/>
    </row>
    <row r="621" spans="4:10">
      <c r="D621" s="71"/>
      <c r="E621" s="71"/>
      <c r="F621" s="71"/>
      <c r="G621" s="71"/>
      <c r="H621" s="71"/>
      <c r="I621" s="71"/>
      <c r="J621" s="71"/>
    </row>
    <row r="622" spans="4:10">
      <c r="D622" s="71"/>
      <c r="E622" s="71"/>
      <c r="F622" s="71"/>
      <c r="G622" s="71"/>
      <c r="H622" s="71"/>
      <c r="I622" s="71"/>
      <c r="J622" s="71"/>
    </row>
    <row r="623" spans="4:10">
      <c r="D623" s="71"/>
      <c r="E623" s="71"/>
      <c r="F623" s="71"/>
      <c r="G623" s="71"/>
      <c r="H623" s="71"/>
      <c r="I623" s="71"/>
      <c r="J623" s="71"/>
    </row>
    <row r="624" spans="4:10">
      <c r="D624" s="71"/>
      <c r="E624" s="71"/>
      <c r="F624" s="71"/>
      <c r="G624" s="71"/>
      <c r="H624" s="71"/>
      <c r="I624" s="71"/>
      <c r="J624" s="71"/>
    </row>
    <row r="625" spans="4:10">
      <c r="D625" s="71"/>
      <c r="E625" s="71"/>
      <c r="F625" s="71"/>
      <c r="G625" s="71"/>
      <c r="H625" s="71"/>
      <c r="I625" s="71"/>
      <c r="J625" s="71"/>
    </row>
    <row r="626" spans="4:10">
      <c r="D626" s="71"/>
      <c r="E626" s="71"/>
      <c r="F626" s="71"/>
      <c r="G626" s="71"/>
      <c r="H626" s="71"/>
      <c r="I626" s="71"/>
      <c r="J626" s="71"/>
    </row>
    <row r="627" spans="4:10">
      <c r="D627" s="71"/>
      <c r="E627" s="71"/>
      <c r="F627" s="71"/>
      <c r="G627" s="71"/>
      <c r="H627" s="71"/>
      <c r="I627" s="71"/>
      <c r="J627" s="71"/>
    </row>
    <row r="628" spans="4:10">
      <c r="D628" s="71"/>
      <c r="E628" s="71"/>
      <c r="F628" s="71"/>
      <c r="G628" s="71"/>
      <c r="H628" s="71"/>
      <c r="I628" s="71"/>
      <c r="J628" s="71"/>
    </row>
    <row r="629" spans="4:10">
      <c r="D629" s="71"/>
      <c r="E629" s="71"/>
      <c r="F629" s="71"/>
      <c r="G629" s="71"/>
      <c r="H629" s="71"/>
      <c r="I629" s="71"/>
      <c r="J629" s="71"/>
    </row>
    <row r="630" spans="4:10">
      <c r="D630" s="71"/>
      <c r="E630" s="71"/>
      <c r="F630" s="71"/>
      <c r="G630" s="71"/>
      <c r="H630" s="71"/>
      <c r="I630" s="71"/>
      <c r="J630" s="71"/>
    </row>
    <row r="631" spans="4:10">
      <c r="D631" s="71"/>
      <c r="E631" s="71"/>
      <c r="F631" s="71"/>
      <c r="G631" s="71"/>
      <c r="H631" s="71"/>
      <c r="I631" s="71"/>
      <c r="J631" s="71"/>
    </row>
    <row r="632" spans="4:10">
      <c r="D632" s="71"/>
      <c r="E632" s="71"/>
      <c r="F632" s="71"/>
      <c r="G632" s="71"/>
      <c r="H632" s="71"/>
      <c r="I632" s="71"/>
      <c r="J632" s="71"/>
    </row>
    <row r="633" spans="4:10">
      <c r="D633" s="71"/>
      <c r="E633" s="71"/>
      <c r="F633" s="71"/>
      <c r="G633" s="71"/>
      <c r="H633" s="71"/>
      <c r="I633" s="71"/>
      <c r="J633" s="71"/>
    </row>
    <row r="634" spans="4:10">
      <c r="D634" s="71"/>
      <c r="E634" s="71"/>
      <c r="F634" s="71"/>
      <c r="G634" s="71"/>
      <c r="H634" s="71"/>
      <c r="I634" s="71"/>
      <c r="J634" s="71"/>
    </row>
    <row r="635" spans="4:10">
      <c r="D635" s="71"/>
      <c r="E635" s="71"/>
      <c r="F635" s="71"/>
      <c r="G635" s="71"/>
      <c r="H635" s="71"/>
      <c r="I635" s="71"/>
      <c r="J635" s="71"/>
    </row>
    <row r="636" spans="4:10">
      <c r="D636" s="71"/>
      <c r="E636" s="71"/>
      <c r="F636" s="71"/>
      <c r="G636" s="71"/>
      <c r="H636" s="71"/>
      <c r="I636" s="71"/>
      <c r="J636" s="71"/>
    </row>
    <row r="637" spans="4:10">
      <c r="D637" s="71"/>
      <c r="E637" s="71"/>
      <c r="F637" s="71"/>
      <c r="G637" s="71"/>
      <c r="H637" s="71"/>
      <c r="I637" s="71"/>
      <c r="J637" s="71"/>
    </row>
    <row r="638" spans="4:10">
      <c r="D638" s="71"/>
      <c r="E638" s="71"/>
      <c r="F638" s="71"/>
      <c r="G638" s="71"/>
      <c r="H638" s="71"/>
      <c r="I638" s="71"/>
      <c r="J638" s="71"/>
    </row>
    <row r="639" spans="4:10">
      <c r="D639" s="71"/>
      <c r="E639" s="71"/>
      <c r="F639" s="71"/>
      <c r="G639" s="71"/>
      <c r="H639" s="71"/>
      <c r="I639" s="71"/>
      <c r="J639" s="71"/>
    </row>
    <row r="640" spans="4:10">
      <c r="D640" s="71"/>
      <c r="E640" s="71"/>
      <c r="F640" s="71"/>
      <c r="G640" s="71"/>
      <c r="H640" s="71"/>
      <c r="I640" s="71"/>
      <c r="J640" s="71"/>
    </row>
    <row r="641" spans="4:10">
      <c r="D641" s="71"/>
      <c r="E641" s="71"/>
      <c r="F641" s="71"/>
      <c r="G641" s="71"/>
      <c r="H641" s="71"/>
      <c r="I641" s="71"/>
      <c r="J641" s="71"/>
    </row>
    <row r="642" spans="4:10">
      <c r="D642" s="71"/>
      <c r="E642" s="71"/>
      <c r="F642" s="71"/>
      <c r="G642" s="71"/>
      <c r="H642" s="71"/>
      <c r="I642" s="71"/>
      <c r="J642" s="71"/>
    </row>
    <row r="643" spans="4:10">
      <c r="D643" s="71"/>
      <c r="E643" s="71"/>
      <c r="F643" s="71"/>
      <c r="G643" s="71"/>
      <c r="H643" s="71"/>
      <c r="I643" s="71"/>
      <c r="J643" s="71"/>
    </row>
    <row r="644" spans="4:10">
      <c r="D644" s="71"/>
      <c r="E644" s="71"/>
      <c r="F644" s="71"/>
      <c r="G644" s="71"/>
      <c r="H644" s="71"/>
      <c r="I644" s="71"/>
      <c r="J644" s="71"/>
    </row>
    <row r="645" spans="4:10">
      <c r="D645" s="71"/>
      <c r="E645" s="71"/>
      <c r="F645" s="71"/>
      <c r="G645" s="71"/>
      <c r="H645" s="71"/>
      <c r="I645" s="71"/>
      <c r="J645" s="71"/>
    </row>
    <row r="646" spans="4:10">
      <c r="D646" s="71"/>
      <c r="E646" s="71"/>
      <c r="F646" s="71"/>
      <c r="G646" s="71"/>
      <c r="H646" s="71"/>
      <c r="I646" s="71"/>
      <c r="J646" s="71"/>
    </row>
    <row r="647" spans="4:10">
      <c r="D647" s="71"/>
      <c r="E647" s="71"/>
      <c r="F647" s="71"/>
      <c r="G647" s="71"/>
      <c r="H647" s="71"/>
      <c r="I647" s="71"/>
      <c r="J647" s="71"/>
    </row>
    <row r="648" spans="4:10">
      <c r="D648" s="71"/>
      <c r="E648" s="71"/>
      <c r="F648" s="71"/>
      <c r="G648" s="71"/>
      <c r="H648" s="71"/>
      <c r="I648" s="71"/>
      <c r="J648" s="71"/>
    </row>
    <row r="649" spans="4:10">
      <c r="D649" s="71"/>
      <c r="E649" s="71"/>
      <c r="F649" s="71"/>
      <c r="G649" s="71"/>
      <c r="H649" s="71"/>
      <c r="I649" s="71"/>
      <c r="J649" s="71"/>
    </row>
    <row r="650" spans="4:10">
      <c r="D650" s="71"/>
      <c r="E650" s="71"/>
      <c r="F650" s="71"/>
      <c r="G650" s="71"/>
      <c r="H650" s="71"/>
      <c r="I650" s="71"/>
      <c r="J650" s="71"/>
    </row>
    <row r="651" spans="4:10">
      <c r="D651" s="71"/>
      <c r="E651" s="71"/>
      <c r="F651" s="71"/>
      <c r="G651" s="71"/>
      <c r="H651" s="71"/>
      <c r="I651" s="71"/>
      <c r="J651" s="71"/>
    </row>
    <row r="652" spans="4:10">
      <c r="D652" s="71"/>
      <c r="E652" s="71"/>
      <c r="F652" s="71"/>
      <c r="G652" s="71"/>
      <c r="H652" s="71"/>
      <c r="I652" s="71"/>
      <c r="J652" s="71"/>
    </row>
    <row r="653" spans="4:10">
      <c r="D653" s="71"/>
      <c r="E653" s="71"/>
      <c r="F653" s="71"/>
      <c r="G653" s="71"/>
      <c r="H653" s="71"/>
      <c r="I653" s="71"/>
      <c r="J653" s="71"/>
    </row>
    <row r="654" spans="4:10">
      <c r="D654" s="71"/>
      <c r="E654" s="71"/>
      <c r="F654" s="71"/>
      <c r="G654" s="71"/>
      <c r="H654" s="71"/>
      <c r="I654" s="71"/>
      <c r="J654" s="71"/>
    </row>
    <row r="655" spans="4:10">
      <c r="D655" s="71"/>
      <c r="E655" s="71"/>
      <c r="F655" s="71"/>
      <c r="G655" s="71"/>
      <c r="H655" s="71"/>
      <c r="I655" s="71"/>
      <c r="J655" s="71"/>
    </row>
    <row r="656" spans="4:10">
      <c r="D656" s="71"/>
      <c r="E656" s="71"/>
      <c r="F656" s="71"/>
      <c r="G656" s="71"/>
      <c r="H656" s="71"/>
      <c r="I656" s="71"/>
      <c r="J656" s="71"/>
    </row>
    <row r="657" spans="4:10">
      <c r="D657" s="71"/>
      <c r="E657" s="71"/>
      <c r="F657" s="71"/>
      <c r="G657" s="71"/>
      <c r="H657" s="71"/>
      <c r="I657" s="71"/>
      <c r="J657" s="71"/>
    </row>
    <row r="658" spans="4:10">
      <c r="D658" s="71"/>
      <c r="E658" s="71"/>
      <c r="F658" s="71"/>
      <c r="G658" s="71"/>
      <c r="H658" s="71"/>
      <c r="I658" s="71"/>
      <c r="J658" s="71"/>
    </row>
    <row r="659" spans="4:10">
      <c r="D659" s="71"/>
      <c r="E659" s="71"/>
      <c r="F659" s="71"/>
      <c r="G659" s="71"/>
      <c r="H659" s="71"/>
      <c r="I659" s="71"/>
      <c r="J659" s="71"/>
    </row>
    <row r="660" spans="4:10">
      <c r="D660" s="71"/>
      <c r="E660" s="71"/>
      <c r="F660" s="71"/>
      <c r="G660" s="71"/>
      <c r="H660" s="71"/>
      <c r="I660" s="71"/>
      <c r="J660" s="71"/>
    </row>
    <row r="661" spans="4:10">
      <c r="D661" s="71"/>
      <c r="E661" s="71"/>
      <c r="F661" s="71"/>
      <c r="G661" s="71"/>
      <c r="H661" s="71"/>
      <c r="I661" s="71"/>
      <c r="J661" s="71"/>
    </row>
    <row r="662" spans="4:10">
      <c r="D662" s="71"/>
      <c r="E662" s="71"/>
      <c r="F662" s="71"/>
      <c r="G662" s="71"/>
      <c r="H662" s="71"/>
      <c r="I662" s="71"/>
      <c r="J662" s="71"/>
    </row>
    <row r="663" spans="4:10">
      <c r="D663" s="71"/>
      <c r="E663" s="71"/>
      <c r="F663" s="71"/>
      <c r="G663" s="71"/>
      <c r="H663" s="71"/>
      <c r="I663" s="71"/>
      <c r="J663" s="71"/>
    </row>
    <row r="664" spans="4:10">
      <c r="D664" s="71"/>
      <c r="E664" s="71"/>
      <c r="F664" s="71"/>
      <c r="G664" s="71"/>
      <c r="H664" s="71"/>
      <c r="I664" s="71"/>
      <c r="J664" s="71"/>
    </row>
    <row r="665" spans="4:10">
      <c r="D665" s="71"/>
      <c r="E665" s="71"/>
      <c r="F665" s="71"/>
      <c r="G665" s="71"/>
      <c r="H665" s="71"/>
      <c r="I665" s="71"/>
      <c r="J665" s="71"/>
    </row>
    <row r="666" spans="4:10">
      <c r="D666" s="71"/>
      <c r="E666" s="71"/>
      <c r="F666" s="71"/>
      <c r="G666" s="71"/>
      <c r="H666" s="71"/>
      <c r="I666" s="71"/>
      <c r="J666" s="71"/>
    </row>
    <row r="667" spans="4:10">
      <c r="D667" s="71"/>
      <c r="E667" s="71"/>
      <c r="F667" s="71"/>
      <c r="G667" s="71"/>
      <c r="H667" s="71"/>
      <c r="I667" s="71"/>
      <c r="J667" s="71"/>
    </row>
    <row r="668" spans="4:10">
      <c r="D668" s="71"/>
      <c r="E668" s="71"/>
      <c r="F668" s="71"/>
      <c r="G668" s="71"/>
      <c r="H668" s="71"/>
      <c r="I668" s="71"/>
      <c r="J668" s="71"/>
    </row>
    <row r="669" spans="4:10">
      <c r="D669" s="71"/>
      <c r="E669" s="71"/>
      <c r="F669" s="71"/>
      <c r="G669" s="71"/>
      <c r="H669" s="71"/>
      <c r="I669" s="71"/>
      <c r="J669" s="71"/>
    </row>
    <row r="670" spans="4:10">
      <c r="D670" s="71"/>
      <c r="E670" s="71"/>
      <c r="F670" s="71"/>
      <c r="G670" s="71"/>
      <c r="H670" s="71"/>
      <c r="I670" s="71"/>
      <c r="J670" s="71"/>
    </row>
    <row r="671" spans="4:10">
      <c r="D671" s="71"/>
      <c r="E671" s="71"/>
      <c r="F671" s="71"/>
      <c r="G671" s="71"/>
      <c r="H671" s="71"/>
      <c r="I671" s="71"/>
      <c r="J671" s="71"/>
    </row>
    <row r="672" spans="4:10">
      <c r="D672" s="71"/>
      <c r="E672" s="71"/>
      <c r="F672" s="71"/>
      <c r="G672" s="71"/>
      <c r="H672" s="71"/>
      <c r="I672" s="71"/>
      <c r="J672" s="71"/>
    </row>
    <row r="673" spans="4:10">
      <c r="D673" s="71"/>
      <c r="E673" s="71"/>
      <c r="F673" s="71"/>
      <c r="G673" s="71"/>
      <c r="H673" s="71"/>
      <c r="I673" s="71"/>
      <c r="J673" s="71"/>
    </row>
    <row r="674" spans="4:10">
      <c r="D674" s="71"/>
      <c r="E674" s="71"/>
      <c r="F674" s="71"/>
      <c r="G674" s="71"/>
      <c r="H674" s="71"/>
      <c r="I674" s="71"/>
      <c r="J674" s="71"/>
    </row>
    <row r="675" spans="4:10">
      <c r="D675" s="71"/>
      <c r="E675" s="71"/>
      <c r="F675" s="71"/>
      <c r="G675" s="71"/>
      <c r="H675" s="71"/>
      <c r="I675" s="71"/>
      <c r="J675" s="71"/>
    </row>
    <row r="676" spans="4:10">
      <c r="D676" s="71"/>
      <c r="E676" s="71"/>
      <c r="F676" s="71"/>
      <c r="G676" s="71"/>
      <c r="H676" s="71"/>
      <c r="I676" s="71"/>
      <c r="J676" s="71"/>
    </row>
    <row r="677" spans="4:10">
      <c r="D677" s="71"/>
      <c r="E677" s="71"/>
      <c r="F677" s="71"/>
      <c r="G677" s="71"/>
      <c r="H677" s="71"/>
      <c r="I677" s="71"/>
      <c r="J677" s="71"/>
    </row>
    <row r="678" spans="4:10">
      <c r="D678" s="71"/>
      <c r="E678" s="71"/>
      <c r="F678" s="71"/>
      <c r="G678" s="71"/>
      <c r="H678" s="71"/>
      <c r="I678" s="71"/>
      <c r="J678" s="71"/>
    </row>
    <row r="679" spans="4:10">
      <c r="D679" s="71"/>
      <c r="E679" s="71"/>
      <c r="F679" s="71"/>
      <c r="G679" s="71"/>
      <c r="H679" s="71"/>
      <c r="I679" s="71"/>
      <c r="J679" s="71"/>
    </row>
    <row r="680" spans="4:10">
      <c r="D680" s="71"/>
      <c r="E680" s="71"/>
      <c r="F680" s="71"/>
      <c r="G680" s="71"/>
      <c r="H680" s="71"/>
      <c r="I680" s="71"/>
      <c r="J680" s="71"/>
    </row>
    <row r="681" spans="4:10">
      <c r="D681" s="71"/>
      <c r="E681" s="71"/>
      <c r="F681" s="71"/>
      <c r="G681" s="71"/>
      <c r="H681" s="71"/>
      <c r="I681" s="71"/>
      <c r="J681" s="71"/>
    </row>
    <row r="682" spans="4:10">
      <c r="D682" s="71"/>
      <c r="E682" s="71"/>
      <c r="F682" s="71"/>
      <c r="G682" s="71"/>
      <c r="H682" s="71"/>
      <c r="I682" s="71"/>
      <c r="J682" s="71"/>
    </row>
    <row r="683" spans="4:10">
      <c r="D683" s="71"/>
      <c r="E683" s="71"/>
      <c r="F683" s="71"/>
      <c r="G683" s="71"/>
      <c r="H683" s="71"/>
      <c r="I683" s="71"/>
      <c r="J683" s="71"/>
    </row>
    <row r="684" spans="4:10">
      <c r="D684" s="71"/>
      <c r="E684" s="71"/>
      <c r="F684" s="71"/>
      <c r="G684" s="71"/>
      <c r="H684" s="71"/>
      <c r="I684" s="71"/>
      <c r="J684" s="71"/>
    </row>
    <row r="685" spans="4:10">
      <c r="D685" s="71"/>
      <c r="E685" s="71"/>
      <c r="F685" s="71"/>
      <c r="G685" s="71"/>
      <c r="H685" s="71"/>
      <c r="I685" s="71"/>
      <c r="J685" s="71"/>
    </row>
    <row r="686" spans="4:10">
      <c r="D686" s="71"/>
      <c r="E686" s="71"/>
      <c r="F686" s="71"/>
      <c r="G686" s="71"/>
      <c r="H686" s="71"/>
      <c r="I686" s="71"/>
      <c r="J686" s="71"/>
    </row>
    <row r="687" spans="4:10">
      <c r="D687" s="71"/>
      <c r="E687" s="71"/>
      <c r="F687" s="71"/>
      <c r="G687" s="71"/>
      <c r="H687" s="71"/>
      <c r="I687" s="71"/>
      <c r="J687" s="71"/>
    </row>
    <row r="688" spans="4:10">
      <c r="D688" s="71"/>
      <c r="E688" s="71"/>
      <c r="F688" s="71"/>
      <c r="G688" s="71"/>
      <c r="H688" s="71"/>
      <c r="I688" s="71"/>
      <c r="J688" s="71"/>
    </row>
    <row r="689" spans="4:10">
      <c r="D689" s="71"/>
      <c r="E689" s="71"/>
      <c r="F689" s="71"/>
      <c r="G689" s="71"/>
      <c r="H689" s="71"/>
      <c r="I689" s="71"/>
      <c r="J689" s="71"/>
    </row>
    <row r="690" spans="4:10">
      <c r="D690" s="71"/>
      <c r="E690" s="71"/>
      <c r="F690" s="71"/>
      <c r="G690" s="71"/>
      <c r="H690" s="71"/>
      <c r="I690" s="71"/>
      <c r="J690" s="71"/>
    </row>
    <row r="691" spans="4:10">
      <c r="D691" s="71"/>
      <c r="E691" s="71"/>
      <c r="F691" s="71"/>
      <c r="G691" s="71"/>
      <c r="H691" s="71"/>
      <c r="I691" s="71"/>
      <c r="J691" s="71"/>
    </row>
    <row r="692" spans="4:10">
      <c r="D692" s="71"/>
      <c r="E692" s="71"/>
      <c r="F692" s="71"/>
      <c r="G692" s="71"/>
      <c r="H692" s="71"/>
      <c r="I692" s="71"/>
      <c r="J692" s="71"/>
    </row>
    <row r="693" spans="4:10">
      <c r="D693" s="71"/>
      <c r="E693" s="71"/>
      <c r="F693" s="71"/>
      <c r="G693" s="71"/>
      <c r="H693" s="71"/>
      <c r="I693" s="71"/>
      <c r="J693" s="71"/>
    </row>
    <row r="694" spans="4:10">
      <c r="D694" s="71"/>
      <c r="E694" s="71"/>
      <c r="F694" s="71"/>
      <c r="G694" s="71"/>
      <c r="H694" s="71"/>
      <c r="I694" s="71"/>
      <c r="J694" s="71"/>
    </row>
    <row r="695" spans="4:10">
      <c r="D695" s="71"/>
      <c r="E695" s="71"/>
      <c r="F695" s="71"/>
      <c r="G695" s="71"/>
      <c r="H695" s="71"/>
      <c r="I695" s="71"/>
      <c r="J695" s="71"/>
    </row>
    <row r="696" spans="4:10">
      <c r="D696" s="71"/>
      <c r="E696" s="71"/>
      <c r="F696" s="71"/>
      <c r="G696" s="71"/>
      <c r="H696" s="71"/>
      <c r="I696" s="71"/>
      <c r="J696" s="71"/>
    </row>
    <row r="697" spans="4:10">
      <c r="D697" s="71"/>
      <c r="E697" s="71"/>
      <c r="F697" s="71"/>
      <c r="G697" s="71"/>
      <c r="H697" s="71"/>
      <c r="I697" s="71"/>
      <c r="J697" s="71"/>
    </row>
    <row r="698" spans="4:10">
      <c r="D698" s="71"/>
      <c r="E698" s="71"/>
      <c r="F698" s="71"/>
      <c r="G698" s="71"/>
      <c r="H698" s="71"/>
      <c r="I698" s="71"/>
      <c r="J698" s="71"/>
    </row>
    <row r="699" spans="4:10">
      <c r="D699" s="71"/>
      <c r="E699" s="71"/>
      <c r="F699" s="71"/>
      <c r="G699" s="71"/>
      <c r="H699" s="71"/>
      <c r="I699" s="71"/>
      <c r="J699" s="71"/>
    </row>
    <row r="700" spans="4:10">
      <c r="D700" s="71"/>
      <c r="E700" s="71"/>
      <c r="F700" s="71"/>
      <c r="G700" s="71"/>
      <c r="H700" s="71"/>
      <c r="I700" s="71"/>
      <c r="J700" s="71"/>
    </row>
    <row r="701" spans="4:10">
      <c r="D701" s="71"/>
      <c r="E701" s="71"/>
      <c r="F701" s="71"/>
      <c r="G701" s="71"/>
      <c r="H701" s="71"/>
      <c r="I701" s="71"/>
      <c r="J701" s="71"/>
    </row>
    <row r="702" spans="4:10">
      <c r="D702" s="71"/>
      <c r="E702" s="71"/>
      <c r="F702" s="71"/>
      <c r="G702" s="71"/>
      <c r="H702" s="71"/>
      <c r="I702" s="71"/>
      <c r="J702" s="71"/>
    </row>
    <row r="703" spans="4:10">
      <c r="D703" s="71"/>
      <c r="E703" s="71"/>
      <c r="F703" s="71"/>
      <c r="G703" s="71"/>
      <c r="H703" s="71"/>
      <c r="I703" s="71"/>
      <c r="J703" s="71"/>
    </row>
    <row r="704" spans="4:10">
      <c r="D704" s="71"/>
      <c r="E704" s="71"/>
      <c r="F704" s="71"/>
      <c r="G704" s="71"/>
      <c r="H704" s="71"/>
      <c r="I704" s="71"/>
      <c r="J704" s="71"/>
    </row>
    <row r="705" spans="4:10">
      <c r="D705" s="71"/>
      <c r="E705" s="71"/>
      <c r="F705" s="71"/>
      <c r="G705" s="71"/>
      <c r="H705" s="71"/>
      <c r="I705" s="71"/>
      <c r="J705" s="71"/>
    </row>
    <row r="706" spans="4:10">
      <c r="D706" s="71"/>
      <c r="E706" s="71"/>
      <c r="F706" s="71"/>
      <c r="G706" s="71"/>
      <c r="H706" s="71"/>
      <c r="I706" s="71"/>
      <c r="J706" s="71"/>
    </row>
    <row r="707" spans="4:10">
      <c r="D707" s="71"/>
      <c r="E707" s="71"/>
      <c r="F707" s="71"/>
      <c r="G707" s="71"/>
      <c r="H707" s="71"/>
      <c r="I707" s="71"/>
      <c r="J707" s="71"/>
    </row>
    <row r="708" spans="4:10">
      <c r="D708" s="71"/>
      <c r="E708" s="71"/>
      <c r="F708" s="71"/>
      <c r="G708" s="71"/>
      <c r="H708" s="71"/>
      <c r="I708" s="71"/>
      <c r="J708" s="71"/>
    </row>
    <row r="709" spans="4:10">
      <c r="D709" s="71"/>
      <c r="E709" s="71"/>
      <c r="F709" s="71"/>
      <c r="G709" s="71"/>
      <c r="H709" s="71"/>
      <c r="I709" s="71"/>
      <c r="J709" s="71"/>
    </row>
    <row r="710" spans="4:10">
      <c r="D710" s="71"/>
      <c r="E710" s="71"/>
      <c r="F710" s="71"/>
      <c r="G710" s="71"/>
      <c r="H710" s="71"/>
      <c r="I710" s="71"/>
      <c r="J710" s="71"/>
    </row>
    <row r="711" spans="4:10">
      <c r="D711" s="71"/>
      <c r="E711" s="71"/>
      <c r="F711" s="71"/>
      <c r="G711" s="71"/>
      <c r="H711" s="71"/>
      <c r="I711" s="71"/>
      <c r="J711" s="71"/>
    </row>
    <row r="712" spans="4:10">
      <c r="D712" s="71"/>
      <c r="E712" s="71"/>
      <c r="F712" s="71"/>
      <c r="G712" s="71"/>
      <c r="H712" s="71"/>
      <c r="I712" s="71"/>
      <c r="J712" s="71"/>
    </row>
    <row r="713" spans="4:10">
      <c r="D713" s="71"/>
      <c r="E713" s="71"/>
      <c r="F713" s="71"/>
      <c r="G713" s="71"/>
      <c r="H713" s="71"/>
      <c r="I713" s="71"/>
      <c r="J713" s="71"/>
    </row>
    <row r="714" spans="4:10">
      <c r="D714" s="71"/>
      <c r="E714" s="71"/>
      <c r="F714" s="71"/>
      <c r="G714" s="71"/>
      <c r="H714" s="71"/>
      <c r="I714" s="71"/>
      <c r="J714" s="71"/>
    </row>
    <row r="715" spans="4:10">
      <c r="D715" s="71"/>
      <c r="E715" s="71"/>
      <c r="F715" s="71"/>
      <c r="G715" s="71"/>
      <c r="H715" s="71"/>
      <c r="I715" s="71"/>
      <c r="J715" s="71"/>
    </row>
    <row r="716" spans="4:10">
      <c r="D716" s="71"/>
      <c r="E716" s="71"/>
      <c r="F716" s="71"/>
      <c r="G716" s="71"/>
      <c r="H716" s="71"/>
      <c r="I716" s="71"/>
      <c r="J716" s="71"/>
    </row>
    <row r="717" spans="4:10">
      <c r="D717" s="71"/>
      <c r="E717" s="71"/>
      <c r="F717" s="71"/>
      <c r="G717" s="71"/>
      <c r="H717" s="71"/>
      <c r="I717" s="71"/>
      <c r="J717" s="71"/>
    </row>
    <row r="718" spans="4:10">
      <c r="D718" s="71"/>
      <c r="E718" s="71"/>
      <c r="F718" s="71"/>
      <c r="G718" s="71"/>
      <c r="H718" s="71"/>
      <c r="I718" s="71"/>
      <c r="J718" s="71"/>
    </row>
    <row r="719" spans="4:10">
      <c r="D719" s="71"/>
      <c r="E719" s="71"/>
      <c r="F719" s="71"/>
      <c r="G719" s="71"/>
      <c r="H719" s="71"/>
      <c r="I719" s="71"/>
      <c r="J719" s="71"/>
    </row>
    <row r="720" spans="4:10">
      <c r="D720" s="71"/>
      <c r="E720" s="71"/>
      <c r="F720" s="71"/>
      <c r="G720" s="71"/>
      <c r="H720" s="71"/>
      <c r="I720" s="71"/>
      <c r="J720" s="71"/>
    </row>
    <row r="721" spans="4:10">
      <c r="D721" s="71"/>
      <c r="E721" s="71"/>
      <c r="F721" s="71"/>
      <c r="G721" s="71"/>
      <c r="H721" s="71"/>
      <c r="I721" s="71"/>
      <c r="J721" s="71"/>
    </row>
    <row r="722" spans="4:10">
      <c r="D722" s="71"/>
      <c r="E722" s="71"/>
      <c r="F722" s="71"/>
      <c r="G722" s="71"/>
      <c r="H722" s="71"/>
      <c r="I722" s="71"/>
      <c r="J722" s="71"/>
    </row>
    <row r="723" spans="4:10">
      <c r="D723" s="71"/>
      <c r="E723" s="71"/>
      <c r="F723" s="71"/>
      <c r="G723" s="71"/>
      <c r="H723" s="71"/>
      <c r="I723" s="71"/>
      <c r="J723" s="71"/>
    </row>
    <row r="724" spans="4:10">
      <c r="D724" s="71"/>
      <c r="E724" s="71"/>
      <c r="F724" s="71"/>
      <c r="G724" s="71"/>
      <c r="H724" s="71"/>
      <c r="I724" s="71"/>
      <c r="J724" s="71"/>
    </row>
    <row r="725" spans="4:10">
      <c r="D725" s="71"/>
      <c r="E725" s="71"/>
      <c r="F725" s="71"/>
      <c r="G725" s="71"/>
      <c r="H725" s="71"/>
      <c r="I725" s="71"/>
      <c r="J725" s="71"/>
    </row>
    <row r="726" spans="4:10">
      <c r="D726" s="71"/>
      <c r="E726" s="71"/>
      <c r="F726" s="71"/>
      <c r="G726" s="71"/>
      <c r="H726" s="71"/>
      <c r="I726" s="71"/>
      <c r="J726" s="71"/>
    </row>
    <row r="727" spans="4:10">
      <c r="D727" s="71"/>
      <c r="E727" s="71"/>
      <c r="F727" s="71"/>
      <c r="G727" s="71"/>
      <c r="H727" s="71"/>
      <c r="I727" s="71"/>
      <c r="J727" s="71"/>
    </row>
    <row r="728" spans="4:10">
      <c r="D728" s="71"/>
      <c r="E728" s="71"/>
      <c r="F728" s="71"/>
      <c r="G728" s="71"/>
      <c r="H728" s="71"/>
      <c r="I728" s="71"/>
      <c r="J728" s="71"/>
    </row>
    <row r="729" spans="4:10">
      <c r="D729" s="71"/>
      <c r="E729" s="71"/>
      <c r="F729" s="71"/>
      <c r="G729" s="71"/>
      <c r="H729" s="71"/>
      <c r="I729" s="71"/>
      <c r="J729" s="71"/>
    </row>
    <row r="730" spans="4:10">
      <c r="D730" s="71"/>
      <c r="E730" s="71"/>
      <c r="F730" s="71"/>
      <c r="G730" s="71"/>
      <c r="H730" s="71"/>
      <c r="I730" s="71"/>
      <c r="J730" s="71"/>
    </row>
    <row r="731" spans="4:10">
      <c r="D731" s="71"/>
      <c r="E731" s="71"/>
      <c r="F731" s="71"/>
      <c r="G731" s="71"/>
      <c r="H731" s="71"/>
      <c r="I731" s="71"/>
      <c r="J731" s="71"/>
    </row>
    <row r="732" spans="4:10">
      <c r="D732" s="71"/>
      <c r="E732" s="71"/>
      <c r="F732" s="71"/>
      <c r="G732" s="71"/>
      <c r="H732" s="71"/>
      <c r="I732" s="71"/>
      <c r="J732" s="71"/>
    </row>
    <row r="733" spans="4:10">
      <c r="D733" s="71"/>
      <c r="E733" s="71"/>
      <c r="F733" s="71"/>
      <c r="G733" s="71"/>
      <c r="H733" s="71"/>
      <c r="I733" s="71"/>
      <c r="J733" s="71"/>
    </row>
    <row r="734" spans="4:10">
      <c r="D734" s="71"/>
      <c r="E734" s="71"/>
      <c r="F734" s="71"/>
      <c r="G734" s="71"/>
      <c r="H734" s="71"/>
      <c r="I734" s="71"/>
      <c r="J734" s="71"/>
    </row>
    <row r="735" spans="4:10">
      <c r="D735" s="71"/>
      <c r="E735" s="71"/>
      <c r="F735" s="71"/>
      <c r="G735" s="71"/>
      <c r="H735" s="71"/>
      <c r="I735" s="71"/>
      <c r="J735" s="71"/>
    </row>
    <row r="736" spans="4:10">
      <c r="D736" s="71"/>
      <c r="E736" s="71"/>
      <c r="F736" s="71"/>
      <c r="G736" s="71"/>
      <c r="H736" s="71"/>
      <c r="I736" s="71"/>
      <c r="J736" s="71"/>
    </row>
    <row r="737" spans="4:10">
      <c r="D737" s="71"/>
      <c r="E737" s="71"/>
      <c r="F737" s="71"/>
      <c r="G737" s="71"/>
      <c r="H737" s="71"/>
      <c r="I737" s="71"/>
      <c r="J737" s="71"/>
    </row>
    <row r="738" spans="4:10">
      <c r="D738" s="71"/>
      <c r="E738" s="71"/>
      <c r="F738" s="71"/>
      <c r="G738" s="71"/>
      <c r="H738" s="71"/>
      <c r="I738" s="71"/>
      <c r="J738" s="71"/>
    </row>
    <row r="739" spans="4:10">
      <c r="D739" s="71"/>
      <c r="E739" s="71"/>
      <c r="F739" s="71"/>
      <c r="G739" s="71"/>
      <c r="H739" s="71"/>
      <c r="I739" s="71"/>
      <c r="J739" s="71"/>
    </row>
    <row r="740" spans="4:10">
      <c r="D740" s="71"/>
      <c r="E740" s="71"/>
      <c r="F740" s="71"/>
      <c r="G740" s="71"/>
      <c r="H740" s="71"/>
      <c r="I740" s="71"/>
      <c r="J740" s="71"/>
    </row>
    <row r="741" spans="4:10">
      <c r="D741" s="71"/>
      <c r="E741" s="71"/>
      <c r="F741" s="71"/>
      <c r="G741" s="71"/>
      <c r="H741" s="71"/>
      <c r="I741" s="71"/>
      <c r="J741" s="71"/>
    </row>
    <row r="742" spans="4:10">
      <c r="D742" s="71"/>
      <c r="E742" s="71"/>
      <c r="F742" s="71"/>
      <c r="G742" s="71"/>
      <c r="H742" s="71"/>
      <c r="I742" s="71"/>
      <c r="J742" s="71"/>
    </row>
    <row r="743" spans="4:10">
      <c r="D743" s="71"/>
      <c r="E743" s="71"/>
      <c r="F743" s="71"/>
      <c r="G743" s="71"/>
      <c r="H743" s="71"/>
      <c r="I743" s="71"/>
      <c r="J743" s="71"/>
    </row>
    <row r="744" spans="4:10">
      <c r="D744" s="71"/>
      <c r="E744" s="71"/>
      <c r="F744" s="71"/>
      <c r="G744" s="71"/>
      <c r="H744" s="71"/>
      <c r="I744" s="71"/>
      <c r="J744" s="71"/>
    </row>
    <row r="745" spans="4:10">
      <c r="D745" s="71"/>
      <c r="E745" s="71"/>
      <c r="F745" s="71"/>
      <c r="G745" s="71"/>
      <c r="H745" s="71"/>
      <c r="I745" s="71"/>
      <c r="J745" s="71"/>
    </row>
    <row r="746" spans="4:10">
      <c r="D746" s="71"/>
      <c r="E746" s="71"/>
      <c r="F746" s="71"/>
      <c r="G746" s="71"/>
      <c r="H746" s="71"/>
      <c r="I746" s="71"/>
      <c r="J746" s="71"/>
    </row>
    <row r="747" spans="4:10">
      <c r="D747" s="71"/>
      <c r="E747" s="71"/>
      <c r="F747" s="71"/>
      <c r="G747" s="71"/>
      <c r="H747" s="71"/>
      <c r="I747" s="71"/>
      <c r="J747" s="71"/>
    </row>
    <row r="748" spans="4:10">
      <c r="D748" s="71"/>
      <c r="E748" s="71"/>
      <c r="F748" s="71"/>
      <c r="G748" s="71"/>
      <c r="H748" s="71"/>
      <c r="I748" s="71"/>
      <c r="J748" s="71"/>
    </row>
    <row r="749" spans="4:10">
      <c r="D749" s="71"/>
      <c r="E749" s="71"/>
      <c r="F749" s="71"/>
      <c r="G749" s="71"/>
      <c r="H749" s="71"/>
      <c r="I749" s="71"/>
      <c r="J749" s="71"/>
    </row>
    <row r="750" spans="4:10">
      <c r="D750" s="71"/>
      <c r="E750" s="71"/>
      <c r="F750" s="71"/>
      <c r="G750" s="71"/>
      <c r="H750" s="71"/>
      <c r="I750" s="71"/>
      <c r="J750" s="71"/>
    </row>
    <row r="751" spans="4:10">
      <c r="D751" s="71"/>
      <c r="E751" s="71"/>
      <c r="F751" s="71"/>
      <c r="G751" s="71"/>
      <c r="H751" s="71"/>
      <c r="I751" s="71"/>
      <c r="J751" s="71"/>
    </row>
    <row r="752" spans="4:10">
      <c r="D752" s="71"/>
      <c r="E752" s="71"/>
      <c r="F752" s="71"/>
      <c r="G752" s="71"/>
      <c r="H752" s="71"/>
      <c r="I752" s="71"/>
      <c r="J752" s="71"/>
    </row>
    <row r="753" spans="4:10">
      <c r="D753" s="71"/>
      <c r="E753" s="71"/>
      <c r="F753" s="71"/>
      <c r="G753" s="71"/>
      <c r="H753" s="71"/>
      <c r="I753" s="71"/>
      <c r="J753" s="71"/>
    </row>
    <row r="754" spans="4:10">
      <c r="D754" s="71"/>
      <c r="E754" s="71"/>
      <c r="F754" s="71"/>
      <c r="G754" s="71"/>
      <c r="H754" s="71"/>
      <c r="I754" s="71"/>
      <c r="J754" s="71"/>
    </row>
    <row r="755" spans="4:10">
      <c r="D755" s="71"/>
      <c r="E755" s="71"/>
      <c r="F755" s="71"/>
      <c r="G755" s="71"/>
      <c r="H755" s="71"/>
      <c r="I755" s="71"/>
      <c r="J755" s="71"/>
    </row>
    <row r="756" spans="4:10">
      <c r="D756" s="71"/>
      <c r="E756" s="71"/>
      <c r="F756" s="71"/>
      <c r="G756" s="71"/>
      <c r="H756" s="71"/>
      <c r="I756" s="71"/>
      <c r="J756" s="71"/>
    </row>
    <row r="757" spans="4:10">
      <c r="D757" s="71"/>
      <c r="E757" s="71"/>
      <c r="F757" s="71"/>
      <c r="G757" s="71"/>
      <c r="H757" s="71"/>
      <c r="I757" s="71"/>
      <c r="J757" s="71"/>
    </row>
    <row r="758" spans="4:10">
      <c r="D758" s="71"/>
      <c r="E758" s="71"/>
      <c r="F758" s="71"/>
      <c r="G758" s="71"/>
      <c r="H758" s="71"/>
      <c r="I758" s="71"/>
      <c r="J758" s="71"/>
    </row>
    <row r="759" spans="4:10">
      <c r="D759" s="71"/>
      <c r="E759" s="71"/>
      <c r="F759" s="71"/>
      <c r="G759" s="71"/>
      <c r="H759" s="71"/>
      <c r="I759" s="71"/>
      <c r="J759" s="71"/>
    </row>
    <row r="760" spans="4:10">
      <c r="D760" s="71"/>
      <c r="E760" s="71"/>
      <c r="F760" s="71"/>
      <c r="G760" s="71"/>
      <c r="H760" s="71"/>
      <c r="I760" s="71"/>
      <c r="J760" s="71"/>
    </row>
    <row r="761" spans="4:10">
      <c r="D761" s="71"/>
      <c r="E761" s="71"/>
      <c r="F761" s="71"/>
      <c r="G761" s="71"/>
      <c r="H761" s="71"/>
      <c r="I761" s="71"/>
      <c r="J761" s="71"/>
    </row>
    <row r="762" spans="4:10">
      <c r="D762" s="71"/>
      <c r="E762" s="71"/>
      <c r="F762" s="71"/>
      <c r="G762" s="71"/>
      <c r="H762" s="71"/>
      <c r="I762" s="71"/>
      <c r="J762" s="71"/>
    </row>
    <row r="763" spans="4:10">
      <c r="D763" s="71"/>
      <c r="E763" s="71"/>
      <c r="F763" s="71"/>
      <c r="G763" s="71"/>
      <c r="H763" s="71"/>
      <c r="I763" s="71"/>
      <c r="J763" s="71"/>
    </row>
    <row r="764" spans="4:10">
      <c r="D764" s="71"/>
      <c r="E764" s="71"/>
      <c r="F764" s="71"/>
      <c r="G764" s="71"/>
      <c r="H764" s="71"/>
      <c r="I764" s="71"/>
      <c r="J764" s="71"/>
    </row>
    <row r="765" spans="4:10">
      <c r="D765" s="71"/>
      <c r="E765" s="71"/>
      <c r="F765" s="71"/>
      <c r="G765" s="71"/>
      <c r="H765" s="71"/>
      <c r="I765" s="71"/>
      <c r="J765" s="71"/>
    </row>
    <row r="766" spans="4:10">
      <c r="D766" s="71"/>
      <c r="E766" s="71"/>
      <c r="F766" s="71"/>
      <c r="G766" s="71"/>
      <c r="H766" s="71"/>
      <c r="I766" s="71"/>
      <c r="J766" s="71"/>
    </row>
    <row r="767" spans="4:10">
      <c r="D767" s="71"/>
      <c r="E767" s="71"/>
      <c r="F767" s="71"/>
      <c r="G767" s="71"/>
      <c r="H767" s="71"/>
      <c r="I767" s="71"/>
      <c r="J767" s="71"/>
    </row>
    <row r="768" spans="4:10">
      <c r="D768" s="71"/>
      <c r="E768" s="71"/>
      <c r="F768" s="71"/>
      <c r="G768" s="71"/>
      <c r="H768" s="71"/>
      <c r="I768" s="71"/>
      <c r="J768" s="71"/>
    </row>
    <row r="769" spans="4:10">
      <c r="D769" s="71"/>
      <c r="E769" s="71"/>
      <c r="F769" s="71"/>
      <c r="G769" s="71"/>
      <c r="H769" s="71"/>
      <c r="I769" s="71"/>
      <c r="J769" s="71"/>
    </row>
    <row r="770" spans="4:10">
      <c r="D770" s="71"/>
      <c r="E770" s="71"/>
      <c r="F770" s="71"/>
      <c r="G770" s="71"/>
      <c r="H770" s="71"/>
      <c r="I770" s="71"/>
      <c r="J770" s="71"/>
    </row>
    <row r="771" spans="4:10">
      <c r="D771" s="71"/>
      <c r="E771" s="71"/>
      <c r="F771" s="71"/>
      <c r="G771" s="71"/>
      <c r="H771" s="71"/>
      <c r="I771" s="71"/>
      <c r="J771" s="71"/>
    </row>
    <row r="772" spans="4:10">
      <c r="D772" s="71"/>
      <c r="E772" s="71"/>
      <c r="F772" s="71"/>
      <c r="G772" s="71"/>
      <c r="H772" s="71"/>
      <c r="I772" s="71"/>
      <c r="J772" s="71"/>
    </row>
    <row r="773" spans="4:10">
      <c r="D773" s="71"/>
      <c r="E773" s="71"/>
      <c r="F773" s="71"/>
      <c r="G773" s="71"/>
      <c r="H773" s="71"/>
      <c r="I773" s="71"/>
      <c r="J773" s="71"/>
    </row>
    <row r="774" spans="4:10">
      <c r="D774" s="71"/>
      <c r="E774" s="71"/>
      <c r="F774" s="71"/>
      <c r="G774" s="71"/>
      <c r="H774" s="71"/>
      <c r="I774" s="71"/>
      <c r="J774" s="71"/>
    </row>
    <row r="775" spans="4:10">
      <c r="D775" s="71"/>
      <c r="E775" s="71"/>
      <c r="F775" s="71"/>
      <c r="G775" s="71"/>
      <c r="H775" s="71"/>
      <c r="I775" s="71"/>
      <c r="J775" s="71"/>
    </row>
    <row r="776" spans="4:10">
      <c r="D776" s="71"/>
      <c r="E776" s="71"/>
      <c r="F776" s="71"/>
      <c r="G776" s="71"/>
      <c r="H776" s="71"/>
      <c r="I776" s="71"/>
      <c r="J776" s="71"/>
    </row>
    <row r="777" spans="4:10">
      <c r="D777" s="71"/>
      <c r="E777" s="71"/>
      <c r="F777" s="71"/>
      <c r="G777" s="71"/>
      <c r="H777" s="71"/>
      <c r="I777" s="71"/>
      <c r="J777" s="71"/>
    </row>
    <row r="778" spans="4:10">
      <c r="D778" s="71"/>
      <c r="E778" s="71"/>
      <c r="F778" s="71"/>
      <c r="G778" s="71"/>
      <c r="H778" s="71"/>
      <c r="I778" s="71"/>
      <c r="J778" s="71"/>
    </row>
    <row r="779" spans="4:10">
      <c r="D779" s="71"/>
      <c r="E779" s="71"/>
      <c r="F779" s="71"/>
      <c r="G779" s="71"/>
      <c r="H779" s="71"/>
      <c r="I779" s="71"/>
      <c r="J779" s="71"/>
    </row>
    <row r="780" spans="4:10">
      <c r="D780" s="71"/>
      <c r="E780" s="71"/>
      <c r="F780" s="71"/>
      <c r="G780" s="71"/>
      <c r="H780" s="71"/>
      <c r="I780" s="71"/>
      <c r="J780" s="71"/>
    </row>
    <row r="781" spans="4:10">
      <c r="D781" s="71"/>
      <c r="E781" s="71"/>
      <c r="F781" s="71"/>
      <c r="G781" s="71"/>
      <c r="H781" s="71"/>
      <c r="I781" s="71"/>
      <c r="J781" s="71"/>
    </row>
    <row r="782" spans="4:10">
      <c r="D782" s="71"/>
      <c r="E782" s="71"/>
      <c r="F782" s="71"/>
      <c r="G782" s="71"/>
      <c r="H782" s="71"/>
      <c r="I782" s="71"/>
      <c r="J782" s="71"/>
    </row>
    <row r="783" spans="4:10">
      <c r="D783" s="71"/>
      <c r="E783" s="71"/>
      <c r="F783" s="71"/>
      <c r="G783" s="71"/>
      <c r="H783" s="71"/>
      <c r="I783" s="71"/>
      <c r="J783" s="71"/>
    </row>
    <row r="784" spans="4:10">
      <c r="D784" s="71"/>
      <c r="E784" s="71"/>
      <c r="F784" s="71"/>
      <c r="G784" s="71"/>
      <c r="H784" s="71"/>
      <c r="I784" s="71"/>
      <c r="J784" s="71"/>
    </row>
    <row r="785" spans="4:10">
      <c r="D785" s="71"/>
      <c r="E785" s="71"/>
      <c r="F785" s="71"/>
      <c r="G785" s="71"/>
      <c r="H785" s="71"/>
      <c r="I785" s="71"/>
      <c r="J785" s="71"/>
    </row>
    <row r="786" spans="4:10">
      <c r="D786" s="71"/>
      <c r="E786" s="71"/>
      <c r="F786" s="71"/>
      <c r="G786" s="71"/>
      <c r="H786" s="71"/>
      <c r="I786" s="71"/>
      <c r="J786" s="71"/>
    </row>
    <row r="787" spans="4:10">
      <c r="D787" s="71"/>
      <c r="E787" s="71"/>
      <c r="F787" s="71"/>
      <c r="G787" s="71"/>
      <c r="H787" s="71"/>
      <c r="I787" s="71"/>
      <c r="J787" s="71"/>
    </row>
    <row r="788" spans="4:10">
      <c r="D788" s="71"/>
      <c r="E788" s="71"/>
      <c r="F788" s="71"/>
      <c r="G788" s="71"/>
      <c r="H788" s="71"/>
      <c r="I788" s="71"/>
      <c r="J788" s="71"/>
    </row>
    <row r="789" spans="4:10">
      <c r="D789" s="71"/>
      <c r="E789" s="71"/>
      <c r="F789" s="71"/>
      <c r="G789" s="71"/>
      <c r="H789" s="71"/>
      <c r="I789" s="71"/>
      <c r="J789" s="71"/>
    </row>
    <row r="790" spans="4:10">
      <c r="D790" s="71"/>
      <c r="E790" s="71"/>
      <c r="F790" s="71"/>
      <c r="G790" s="71"/>
      <c r="H790" s="71"/>
      <c r="I790" s="71"/>
      <c r="J790" s="71"/>
    </row>
    <row r="791" spans="4:10">
      <c r="D791" s="71"/>
      <c r="E791" s="71"/>
      <c r="F791" s="71"/>
      <c r="G791" s="71"/>
      <c r="H791" s="71"/>
      <c r="I791" s="71"/>
      <c r="J791" s="71"/>
    </row>
    <row r="792" spans="4:10">
      <c r="D792" s="71"/>
      <c r="E792" s="71"/>
      <c r="F792" s="71"/>
      <c r="G792" s="71"/>
      <c r="H792" s="71"/>
      <c r="I792" s="71"/>
      <c r="J792" s="71"/>
    </row>
    <row r="793" spans="4:10">
      <c r="D793" s="71"/>
      <c r="E793" s="71"/>
      <c r="F793" s="71"/>
      <c r="G793" s="71"/>
      <c r="H793" s="71"/>
      <c r="I793" s="71"/>
      <c r="J793" s="71"/>
    </row>
    <row r="794" spans="4:10">
      <c r="D794" s="71"/>
      <c r="E794" s="71"/>
      <c r="F794" s="71"/>
      <c r="G794" s="71"/>
      <c r="H794" s="71"/>
      <c r="I794" s="71"/>
      <c r="J794" s="71"/>
    </row>
    <row r="795" spans="4:10">
      <c r="D795" s="71"/>
      <c r="E795" s="71"/>
      <c r="F795" s="71"/>
      <c r="G795" s="71"/>
      <c r="H795" s="71"/>
      <c r="I795" s="71"/>
      <c r="J795" s="71"/>
    </row>
    <row r="796" spans="4:10">
      <c r="D796" s="71"/>
      <c r="E796" s="71"/>
      <c r="F796" s="71"/>
      <c r="G796" s="71"/>
      <c r="H796" s="71"/>
      <c r="I796" s="71"/>
      <c r="J796" s="71"/>
    </row>
    <row r="797" spans="4:10">
      <c r="D797" s="71"/>
      <c r="E797" s="71"/>
      <c r="F797" s="71"/>
      <c r="G797" s="71"/>
      <c r="H797" s="71"/>
      <c r="I797" s="71"/>
      <c r="J797" s="71"/>
    </row>
    <row r="798" spans="4:10">
      <c r="D798" s="71"/>
      <c r="E798" s="71"/>
      <c r="F798" s="71"/>
      <c r="G798" s="71"/>
      <c r="H798" s="71"/>
      <c r="I798" s="71"/>
      <c r="J798" s="71"/>
    </row>
    <row r="799" spans="4:10">
      <c r="D799" s="71"/>
      <c r="E799" s="71"/>
      <c r="F799" s="71"/>
      <c r="G799" s="71"/>
      <c r="H799" s="71"/>
      <c r="I799" s="71"/>
      <c r="J799" s="71"/>
    </row>
    <row r="800" spans="4:10">
      <c r="D800" s="71"/>
      <c r="E800" s="71"/>
      <c r="F800" s="71"/>
      <c r="G800" s="71"/>
      <c r="H800" s="71"/>
      <c r="I800" s="71"/>
      <c r="J800" s="71"/>
    </row>
    <row r="801" spans="4:10">
      <c r="D801" s="71"/>
      <c r="E801" s="71"/>
      <c r="F801" s="71"/>
      <c r="G801" s="71"/>
      <c r="H801" s="71"/>
      <c r="I801" s="71"/>
      <c r="J801" s="71"/>
    </row>
    <row r="802" spans="4:10">
      <c r="D802" s="71"/>
      <c r="E802" s="71"/>
      <c r="F802" s="71"/>
      <c r="G802" s="71"/>
      <c r="H802" s="71"/>
      <c r="I802" s="71"/>
      <c r="J802" s="71"/>
    </row>
    <row r="803" spans="4:10">
      <c r="D803" s="71"/>
      <c r="E803" s="71"/>
      <c r="F803" s="71"/>
      <c r="G803" s="71"/>
      <c r="H803" s="71"/>
      <c r="I803" s="71"/>
      <c r="J803" s="71"/>
    </row>
    <row r="804" spans="4:10">
      <c r="D804" s="71"/>
      <c r="E804" s="71"/>
      <c r="F804" s="71"/>
      <c r="G804" s="71"/>
      <c r="H804" s="71"/>
      <c r="I804" s="71"/>
      <c r="J804" s="71"/>
    </row>
    <row r="805" spans="4:10">
      <c r="D805" s="71"/>
      <c r="E805" s="71"/>
      <c r="F805" s="71"/>
      <c r="G805" s="71"/>
      <c r="H805" s="71"/>
      <c r="I805" s="71"/>
      <c r="J805" s="71"/>
    </row>
    <row r="806" spans="4:10">
      <c r="D806" s="71"/>
      <c r="E806" s="71"/>
      <c r="F806" s="71"/>
      <c r="G806" s="71"/>
      <c r="H806" s="71"/>
      <c r="I806" s="71"/>
      <c r="J806" s="71"/>
    </row>
    <row r="807" spans="4:10">
      <c r="D807" s="71"/>
      <c r="E807" s="71"/>
      <c r="F807" s="71"/>
      <c r="G807" s="71"/>
      <c r="H807" s="71"/>
      <c r="I807" s="71"/>
      <c r="J807" s="71"/>
    </row>
    <row r="808" spans="4:10">
      <c r="D808" s="71"/>
      <c r="E808" s="71"/>
      <c r="F808" s="71"/>
      <c r="G808" s="71"/>
      <c r="H808" s="71"/>
      <c r="I808" s="71"/>
      <c r="J808" s="71"/>
    </row>
    <row r="809" spans="4:10">
      <c r="D809" s="71"/>
      <c r="E809" s="71"/>
      <c r="F809" s="71"/>
      <c r="G809" s="71"/>
      <c r="H809" s="71"/>
      <c r="I809" s="71"/>
      <c r="J809" s="71"/>
    </row>
    <row r="810" spans="4:10">
      <c r="D810" s="71"/>
      <c r="E810" s="71"/>
      <c r="F810" s="71"/>
      <c r="G810" s="71"/>
      <c r="H810" s="71"/>
      <c r="I810" s="71"/>
      <c r="J810" s="71"/>
    </row>
    <row r="811" spans="4:10">
      <c r="D811" s="71"/>
      <c r="E811" s="71"/>
      <c r="F811" s="71"/>
      <c r="G811" s="71"/>
      <c r="H811" s="71"/>
      <c r="I811" s="71"/>
      <c r="J811" s="71"/>
    </row>
    <row r="812" spans="4:10">
      <c r="D812" s="71"/>
      <c r="E812" s="71"/>
      <c r="F812" s="71"/>
      <c r="G812" s="71"/>
      <c r="H812" s="71"/>
      <c r="I812" s="71"/>
      <c r="J812" s="71"/>
    </row>
    <row r="813" spans="4:10">
      <c r="D813" s="71"/>
      <c r="E813" s="71"/>
      <c r="F813" s="71"/>
      <c r="G813" s="71"/>
      <c r="H813" s="71"/>
      <c r="I813" s="71"/>
      <c r="J813" s="71"/>
    </row>
    <row r="814" spans="4:10">
      <c r="D814" s="71"/>
      <c r="E814" s="71"/>
      <c r="F814" s="71"/>
      <c r="G814" s="71"/>
      <c r="H814" s="71"/>
      <c r="I814" s="71"/>
      <c r="J814" s="71"/>
    </row>
    <row r="815" spans="4:10">
      <c r="D815" s="71"/>
      <c r="E815" s="71"/>
      <c r="F815" s="71"/>
      <c r="G815" s="71"/>
      <c r="H815" s="71"/>
      <c r="I815" s="71"/>
      <c r="J815" s="71"/>
    </row>
    <row r="816" spans="4:10">
      <c r="D816" s="71"/>
      <c r="E816" s="71"/>
      <c r="F816" s="71"/>
      <c r="G816" s="71"/>
      <c r="H816" s="71"/>
      <c r="I816" s="71"/>
      <c r="J816" s="71"/>
    </row>
    <row r="817" spans="4:10">
      <c r="D817" s="71"/>
      <c r="E817" s="71"/>
      <c r="F817" s="71"/>
      <c r="G817" s="71"/>
      <c r="H817" s="71"/>
      <c r="I817" s="71"/>
      <c r="J817" s="71"/>
    </row>
    <row r="818" spans="4:10">
      <c r="D818" s="71"/>
      <c r="E818" s="71"/>
      <c r="F818" s="71"/>
      <c r="G818" s="71"/>
      <c r="H818" s="71"/>
      <c r="I818" s="71"/>
      <c r="J818" s="71"/>
    </row>
    <row r="819" spans="4:10">
      <c r="D819" s="71"/>
      <c r="E819" s="71"/>
      <c r="F819" s="71"/>
      <c r="G819" s="71"/>
      <c r="H819" s="71"/>
      <c r="I819" s="71"/>
      <c r="J819" s="71"/>
    </row>
    <row r="820" spans="4:10">
      <c r="D820" s="71"/>
      <c r="E820" s="71"/>
      <c r="F820" s="71"/>
      <c r="G820" s="71"/>
      <c r="H820" s="71"/>
      <c r="I820" s="71"/>
      <c r="J820" s="71"/>
    </row>
    <row r="821" spans="4:10">
      <c r="D821" s="71"/>
      <c r="E821" s="71"/>
      <c r="F821" s="71"/>
      <c r="G821" s="71"/>
      <c r="H821" s="71"/>
      <c r="I821" s="71"/>
      <c r="J821" s="71"/>
    </row>
    <row r="822" spans="4:10">
      <c r="D822" s="71"/>
      <c r="E822" s="71"/>
      <c r="F822" s="71"/>
      <c r="G822" s="71"/>
      <c r="H822" s="71"/>
      <c r="I822" s="71"/>
      <c r="J822" s="71"/>
    </row>
    <row r="823" spans="4:10">
      <c r="D823" s="71"/>
      <c r="E823" s="71"/>
      <c r="F823" s="71"/>
      <c r="G823" s="71"/>
      <c r="H823" s="71"/>
      <c r="I823" s="71"/>
      <c r="J823" s="71"/>
    </row>
    <row r="824" spans="4:10">
      <c r="D824" s="71"/>
      <c r="E824" s="71"/>
      <c r="F824" s="71"/>
      <c r="G824" s="71"/>
      <c r="H824" s="71"/>
      <c r="I824" s="71"/>
      <c r="J824" s="71"/>
    </row>
    <row r="825" spans="4:10">
      <c r="D825" s="71"/>
      <c r="E825" s="71"/>
      <c r="F825" s="71"/>
      <c r="G825" s="71"/>
      <c r="H825" s="71"/>
      <c r="I825" s="71"/>
      <c r="J825" s="71"/>
    </row>
    <row r="826" spans="4:10">
      <c r="D826" s="71"/>
      <c r="E826" s="71"/>
      <c r="F826" s="71"/>
      <c r="G826" s="71"/>
      <c r="H826" s="71"/>
      <c r="I826" s="71"/>
      <c r="J826" s="71"/>
    </row>
    <row r="827" spans="4:10">
      <c r="D827" s="71"/>
      <c r="E827" s="71"/>
      <c r="F827" s="71"/>
      <c r="G827" s="71"/>
      <c r="H827" s="71"/>
      <c r="I827" s="71"/>
      <c r="J827" s="71"/>
    </row>
    <row r="828" spans="4:10">
      <c r="D828" s="71"/>
      <c r="E828" s="71"/>
      <c r="F828" s="71"/>
      <c r="G828" s="71"/>
      <c r="H828" s="71"/>
      <c r="I828" s="71"/>
      <c r="J828" s="71"/>
    </row>
    <row r="829" spans="4:10">
      <c r="D829" s="71"/>
      <c r="E829" s="71"/>
      <c r="F829" s="71"/>
      <c r="G829" s="71"/>
      <c r="H829" s="71"/>
      <c r="I829" s="71"/>
      <c r="J829" s="71"/>
    </row>
    <row r="830" spans="4:10">
      <c r="D830" s="71"/>
      <c r="E830" s="71"/>
      <c r="F830" s="71"/>
      <c r="G830" s="71"/>
      <c r="H830" s="71"/>
      <c r="I830" s="71"/>
      <c r="J830" s="71"/>
    </row>
    <row r="831" spans="4:10">
      <c r="D831" s="71"/>
      <c r="E831" s="71"/>
      <c r="F831" s="71"/>
      <c r="G831" s="71"/>
      <c r="H831" s="71"/>
      <c r="I831" s="71"/>
      <c r="J831" s="71"/>
    </row>
    <row r="832" spans="4:10">
      <c r="D832" s="71"/>
      <c r="E832" s="71"/>
      <c r="F832" s="71"/>
      <c r="G832" s="71"/>
      <c r="H832" s="71"/>
      <c r="I832" s="71"/>
      <c r="J832" s="71"/>
    </row>
    <row r="833" spans="4:10">
      <c r="D833" s="71"/>
      <c r="E833" s="71"/>
      <c r="F833" s="71"/>
      <c r="G833" s="71"/>
      <c r="H833" s="71"/>
      <c r="I833" s="71"/>
      <c r="J833" s="71"/>
    </row>
    <row r="834" spans="4:10">
      <c r="D834" s="71"/>
      <c r="E834" s="71"/>
      <c r="F834" s="71"/>
      <c r="G834" s="71"/>
      <c r="H834" s="71"/>
      <c r="I834" s="71"/>
      <c r="J834" s="71"/>
    </row>
    <row r="835" spans="4:10">
      <c r="D835" s="71"/>
      <c r="E835" s="71"/>
      <c r="F835" s="71"/>
      <c r="G835" s="71"/>
      <c r="H835" s="71"/>
      <c r="I835" s="71"/>
      <c r="J835" s="71"/>
    </row>
    <row r="836" spans="4:10">
      <c r="D836" s="71"/>
      <c r="E836" s="71"/>
      <c r="F836" s="71"/>
      <c r="G836" s="71"/>
      <c r="H836" s="71"/>
      <c r="I836" s="71"/>
      <c r="J836" s="71"/>
    </row>
    <row r="837" spans="4:10">
      <c r="D837" s="71"/>
      <c r="E837" s="71"/>
      <c r="F837" s="71"/>
      <c r="G837" s="71"/>
      <c r="H837" s="71"/>
      <c r="I837" s="71"/>
      <c r="J837" s="71"/>
    </row>
    <row r="838" spans="4:10">
      <c r="D838" s="71"/>
      <c r="E838" s="71"/>
      <c r="F838" s="71"/>
      <c r="G838" s="71"/>
      <c r="H838" s="71"/>
      <c r="I838" s="71"/>
      <c r="J838" s="71"/>
    </row>
    <row r="839" spans="4:10">
      <c r="D839" s="71"/>
      <c r="E839" s="71"/>
      <c r="F839" s="71"/>
      <c r="G839" s="71"/>
      <c r="H839" s="71"/>
      <c r="I839" s="71"/>
      <c r="J839" s="71"/>
    </row>
    <row r="840" spans="4:10">
      <c r="D840" s="71"/>
      <c r="E840" s="71"/>
      <c r="F840" s="71"/>
      <c r="G840" s="71"/>
      <c r="H840" s="71"/>
      <c r="I840" s="71"/>
      <c r="J840" s="71"/>
    </row>
    <row r="841" spans="4:10">
      <c r="D841" s="71"/>
      <c r="E841" s="71"/>
      <c r="F841" s="71"/>
      <c r="G841" s="71"/>
      <c r="H841" s="71"/>
      <c r="I841" s="71"/>
      <c r="J841" s="71"/>
    </row>
    <row r="842" spans="4:10">
      <c r="D842" s="71"/>
      <c r="E842" s="71"/>
      <c r="F842" s="71"/>
      <c r="G842" s="71"/>
      <c r="H842" s="71"/>
      <c r="I842" s="71"/>
      <c r="J842" s="71"/>
    </row>
    <row r="843" spans="4:10">
      <c r="D843" s="71"/>
      <c r="E843" s="71"/>
      <c r="F843" s="71"/>
      <c r="G843" s="71"/>
      <c r="H843" s="71"/>
      <c r="I843" s="71"/>
      <c r="J843" s="71"/>
    </row>
    <row r="844" spans="4:10">
      <c r="D844" s="71"/>
      <c r="E844" s="71"/>
      <c r="F844" s="71"/>
      <c r="G844" s="71"/>
      <c r="H844" s="71"/>
      <c r="I844" s="71"/>
      <c r="J844" s="71"/>
    </row>
    <row r="845" spans="4:10">
      <c r="D845" s="71"/>
      <c r="E845" s="71"/>
      <c r="F845" s="71"/>
      <c r="G845" s="71"/>
      <c r="H845" s="71"/>
      <c r="I845" s="71"/>
      <c r="J845" s="71"/>
    </row>
    <row r="846" spans="4:10">
      <c r="D846" s="71"/>
      <c r="E846" s="71"/>
      <c r="F846" s="71"/>
      <c r="G846" s="71"/>
      <c r="H846" s="71"/>
      <c r="I846" s="71"/>
      <c r="J846" s="71"/>
    </row>
    <row r="847" spans="4:10">
      <c r="D847" s="71"/>
      <c r="E847" s="71"/>
      <c r="F847" s="71"/>
      <c r="G847" s="71"/>
      <c r="H847" s="71"/>
      <c r="I847" s="71"/>
      <c r="J847" s="71"/>
    </row>
    <row r="848" spans="4:10">
      <c r="D848" s="71"/>
      <c r="E848" s="71"/>
      <c r="F848" s="71"/>
      <c r="G848" s="71"/>
      <c r="H848" s="71"/>
      <c r="I848" s="71"/>
      <c r="J848" s="71"/>
    </row>
    <row r="849" spans="4:10">
      <c r="D849" s="71"/>
      <c r="E849" s="71"/>
      <c r="F849" s="71"/>
      <c r="G849" s="71"/>
      <c r="H849" s="71"/>
      <c r="I849" s="71"/>
      <c r="J849" s="71"/>
    </row>
    <row r="850" spans="4:10">
      <c r="D850" s="71"/>
      <c r="E850" s="71"/>
      <c r="F850" s="71"/>
      <c r="G850" s="71"/>
      <c r="H850" s="71"/>
      <c r="I850" s="71"/>
      <c r="J850" s="71"/>
    </row>
    <row r="851" spans="4:10">
      <c r="D851" s="71"/>
      <c r="E851" s="71"/>
      <c r="F851" s="71"/>
      <c r="G851" s="71"/>
      <c r="H851" s="71"/>
      <c r="I851" s="71"/>
      <c r="J851" s="71"/>
    </row>
    <row r="852" spans="4:10">
      <c r="D852" s="71"/>
      <c r="E852" s="71"/>
      <c r="F852" s="71"/>
      <c r="G852" s="71"/>
      <c r="H852" s="71"/>
      <c r="I852" s="71"/>
      <c r="J852" s="71"/>
    </row>
    <row r="853" spans="4:10">
      <c r="D853" s="71"/>
      <c r="E853" s="71"/>
      <c r="F853" s="71"/>
      <c r="G853" s="71"/>
      <c r="H853" s="71"/>
      <c r="I853" s="71"/>
      <c r="J853" s="71"/>
    </row>
    <row r="854" spans="4:10">
      <c r="D854" s="71"/>
      <c r="E854" s="71"/>
      <c r="F854" s="71"/>
      <c r="G854" s="71"/>
      <c r="H854" s="71"/>
      <c r="I854" s="71"/>
      <c r="J854" s="71"/>
    </row>
    <row r="855" spans="4:10">
      <c r="D855" s="71"/>
      <c r="E855" s="71"/>
      <c r="F855" s="71"/>
      <c r="G855" s="71"/>
      <c r="H855" s="71"/>
      <c r="I855" s="71"/>
      <c r="J855" s="71"/>
    </row>
    <row r="856" spans="4:10">
      <c r="D856" s="71"/>
      <c r="E856" s="71"/>
      <c r="F856" s="71"/>
      <c r="G856" s="71"/>
      <c r="H856" s="71"/>
      <c r="I856" s="71"/>
      <c r="J856" s="71"/>
    </row>
    <row r="857" spans="4:10">
      <c r="D857" s="71"/>
      <c r="E857" s="71"/>
      <c r="F857" s="71"/>
      <c r="G857" s="71"/>
      <c r="H857" s="71"/>
      <c r="I857" s="71"/>
      <c r="J857" s="71"/>
    </row>
    <row r="858" spans="4:10">
      <c r="D858" s="71"/>
      <c r="E858" s="71"/>
      <c r="F858" s="71"/>
      <c r="G858" s="71"/>
      <c r="H858" s="71"/>
      <c r="I858" s="71"/>
      <c r="J858" s="71"/>
    </row>
    <row r="859" spans="4:10">
      <c r="D859" s="71"/>
      <c r="E859" s="71"/>
      <c r="F859" s="71"/>
      <c r="G859" s="71"/>
      <c r="H859" s="71"/>
      <c r="I859" s="71"/>
      <c r="J859" s="71"/>
    </row>
    <row r="860" spans="4:10">
      <c r="D860" s="71"/>
      <c r="E860" s="71"/>
      <c r="F860" s="71"/>
      <c r="G860" s="71"/>
      <c r="H860" s="71"/>
      <c r="I860" s="71"/>
      <c r="J860" s="71"/>
    </row>
    <row r="861" spans="4:10">
      <c r="D861" s="71"/>
      <c r="E861" s="71"/>
      <c r="F861" s="71"/>
      <c r="G861" s="71"/>
      <c r="H861" s="71"/>
      <c r="I861" s="71"/>
      <c r="J861" s="71"/>
    </row>
    <row r="862" spans="4:10">
      <c r="D862" s="71"/>
      <c r="E862" s="71"/>
      <c r="F862" s="71"/>
      <c r="G862" s="71"/>
      <c r="H862" s="71"/>
      <c r="I862" s="71"/>
      <c r="J862" s="71"/>
    </row>
    <row r="863" spans="4:10">
      <c r="D863" s="71"/>
      <c r="E863" s="71"/>
      <c r="F863" s="71"/>
      <c r="G863" s="71"/>
      <c r="H863" s="71"/>
      <c r="I863" s="71"/>
      <c r="J863" s="71"/>
    </row>
    <row r="864" spans="4:10">
      <c r="D864" s="71"/>
      <c r="E864" s="71"/>
      <c r="F864" s="71"/>
      <c r="G864" s="71"/>
      <c r="H864" s="71"/>
      <c r="I864" s="71"/>
      <c r="J864" s="71"/>
    </row>
    <row r="865" spans="4:10">
      <c r="D865" s="71"/>
      <c r="E865" s="71"/>
      <c r="F865" s="71"/>
      <c r="G865" s="71"/>
      <c r="H865" s="71"/>
      <c r="I865" s="71"/>
      <c r="J865" s="71"/>
    </row>
    <row r="866" spans="4:10">
      <c r="D866" s="71"/>
      <c r="E866" s="71"/>
      <c r="F866" s="71"/>
      <c r="G866" s="71"/>
      <c r="H866" s="71"/>
      <c r="I866" s="71"/>
      <c r="J866" s="71"/>
    </row>
    <row r="867" spans="4:10">
      <c r="D867" s="71"/>
      <c r="E867" s="71"/>
      <c r="F867" s="71"/>
      <c r="G867" s="71"/>
      <c r="H867" s="71"/>
      <c r="I867" s="71"/>
      <c r="J867" s="71"/>
    </row>
    <row r="868" spans="4:10">
      <c r="D868" s="71"/>
      <c r="E868" s="71"/>
      <c r="F868" s="71"/>
      <c r="G868" s="71"/>
      <c r="H868" s="71"/>
      <c r="I868" s="71"/>
      <c r="J868" s="71"/>
    </row>
    <row r="869" spans="4:10">
      <c r="D869" s="71"/>
      <c r="E869" s="71"/>
      <c r="F869" s="71"/>
      <c r="G869" s="71"/>
      <c r="H869" s="71"/>
      <c r="I869" s="71"/>
      <c r="J869" s="71"/>
    </row>
    <row r="870" spans="4:10">
      <c r="D870" s="71"/>
      <c r="E870" s="71"/>
      <c r="F870" s="71"/>
      <c r="G870" s="71"/>
      <c r="H870" s="71"/>
      <c r="I870" s="71"/>
      <c r="J870" s="71"/>
    </row>
    <row r="871" spans="4:10">
      <c r="D871" s="71"/>
      <c r="E871" s="71"/>
      <c r="F871" s="71"/>
      <c r="G871" s="71"/>
      <c r="H871" s="71"/>
      <c r="I871" s="71"/>
      <c r="J871" s="71"/>
    </row>
    <row r="872" spans="4:10">
      <c r="D872" s="71"/>
      <c r="E872" s="71"/>
      <c r="F872" s="71"/>
      <c r="G872" s="71"/>
      <c r="H872" s="71"/>
      <c r="I872" s="71"/>
      <c r="J872" s="71"/>
    </row>
    <row r="873" spans="4:10">
      <c r="D873" s="71"/>
      <c r="E873" s="71"/>
      <c r="F873" s="71"/>
      <c r="G873" s="71"/>
      <c r="H873" s="71"/>
      <c r="I873" s="71"/>
      <c r="J873" s="71"/>
    </row>
    <row r="874" spans="4:10">
      <c r="D874" s="71"/>
      <c r="E874" s="71"/>
      <c r="F874" s="71"/>
      <c r="G874" s="71"/>
      <c r="H874" s="71"/>
      <c r="I874" s="71"/>
      <c r="J874" s="71"/>
    </row>
    <row r="875" spans="4:10">
      <c r="D875" s="71"/>
      <c r="E875" s="71"/>
      <c r="F875" s="71"/>
      <c r="G875" s="71"/>
      <c r="H875" s="71"/>
      <c r="I875" s="71"/>
      <c r="J875" s="71"/>
    </row>
    <row r="876" spans="4:10">
      <c r="D876" s="71"/>
      <c r="E876" s="71"/>
      <c r="F876" s="71"/>
      <c r="G876" s="71"/>
      <c r="H876" s="71"/>
      <c r="I876" s="71"/>
      <c r="J876" s="71"/>
    </row>
    <row r="877" spans="4:10">
      <c r="D877" s="71"/>
      <c r="E877" s="71"/>
      <c r="F877" s="71"/>
      <c r="G877" s="71"/>
      <c r="H877" s="71"/>
      <c r="I877" s="71"/>
      <c r="J877" s="71"/>
    </row>
    <row r="878" spans="4:10">
      <c r="D878" s="71"/>
      <c r="E878" s="71"/>
      <c r="F878" s="71"/>
      <c r="G878" s="71"/>
      <c r="H878" s="71"/>
      <c r="I878" s="71"/>
      <c r="J878" s="71"/>
    </row>
    <row r="879" spans="4:10">
      <c r="D879" s="71"/>
      <c r="E879" s="71"/>
      <c r="F879" s="71"/>
      <c r="G879" s="71"/>
      <c r="H879" s="71"/>
      <c r="I879" s="71"/>
      <c r="J879" s="71"/>
    </row>
    <row r="880" spans="4:10">
      <c r="D880" s="71"/>
      <c r="E880" s="71"/>
      <c r="F880" s="71"/>
      <c r="G880" s="71"/>
      <c r="H880" s="71"/>
      <c r="I880" s="71"/>
      <c r="J880" s="71"/>
    </row>
    <row r="881" spans="4:10">
      <c r="D881" s="71"/>
      <c r="E881" s="71"/>
      <c r="F881" s="71"/>
      <c r="G881" s="71"/>
      <c r="H881" s="71"/>
      <c r="I881" s="71"/>
      <c r="J881" s="71"/>
    </row>
    <row r="882" spans="4:10">
      <c r="D882" s="71"/>
      <c r="E882" s="71"/>
      <c r="F882" s="71"/>
      <c r="G882" s="71"/>
      <c r="H882" s="71"/>
      <c r="I882" s="71"/>
      <c r="J882" s="71"/>
    </row>
    <row r="883" spans="4:10">
      <c r="D883" s="71"/>
      <c r="E883" s="71"/>
      <c r="F883" s="71"/>
      <c r="G883" s="71"/>
      <c r="H883" s="71"/>
      <c r="I883" s="71"/>
      <c r="J883" s="71"/>
    </row>
    <row r="884" spans="4:10">
      <c r="D884" s="71"/>
      <c r="E884" s="71"/>
      <c r="F884" s="71"/>
      <c r="G884" s="71"/>
      <c r="H884" s="71"/>
      <c r="I884" s="71"/>
      <c r="J884" s="71"/>
    </row>
    <row r="885" spans="4:10">
      <c r="D885" s="71"/>
      <c r="E885" s="71"/>
      <c r="F885" s="71"/>
      <c r="G885" s="71"/>
      <c r="H885" s="71"/>
      <c r="I885" s="71"/>
      <c r="J885" s="71"/>
    </row>
    <row r="886" spans="4:10">
      <c r="D886" s="71"/>
      <c r="E886" s="71"/>
      <c r="F886" s="71"/>
      <c r="G886" s="71"/>
      <c r="H886" s="71"/>
      <c r="I886" s="71"/>
      <c r="J886" s="71"/>
    </row>
    <row r="887" spans="4:10">
      <c r="D887" s="71"/>
      <c r="E887" s="71"/>
      <c r="F887" s="71"/>
      <c r="G887" s="71"/>
      <c r="H887" s="71"/>
      <c r="I887" s="71"/>
      <c r="J887" s="71"/>
    </row>
    <row r="888" spans="4:10">
      <c r="D888" s="71"/>
      <c r="E888" s="71"/>
      <c r="F888" s="71"/>
      <c r="G888" s="71"/>
      <c r="H888" s="71"/>
      <c r="I888" s="71"/>
      <c r="J888" s="71"/>
    </row>
    <row r="889" spans="4:10">
      <c r="D889" s="71"/>
      <c r="E889" s="71"/>
      <c r="F889" s="71"/>
      <c r="G889" s="71"/>
      <c r="H889" s="71"/>
      <c r="I889" s="71"/>
      <c r="J889" s="71"/>
    </row>
    <row r="890" spans="4:10">
      <c r="D890" s="71"/>
      <c r="E890" s="71"/>
      <c r="F890" s="71"/>
      <c r="G890" s="71"/>
      <c r="H890" s="71"/>
      <c r="I890" s="71"/>
      <c r="J890" s="71"/>
    </row>
    <row r="891" spans="4:10">
      <c r="D891" s="71"/>
      <c r="E891" s="71"/>
      <c r="F891" s="71"/>
      <c r="G891" s="71"/>
      <c r="H891" s="71"/>
      <c r="I891" s="71"/>
      <c r="J891" s="71"/>
    </row>
    <row r="892" spans="4:10">
      <c r="D892" s="71"/>
      <c r="E892" s="71"/>
      <c r="F892" s="71"/>
      <c r="G892" s="71"/>
      <c r="H892" s="71"/>
      <c r="I892" s="71"/>
      <c r="J892" s="71"/>
    </row>
    <row r="893" spans="4:10">
      <c r="D893" s="71"/>
      <c r="E893" s="71"/>
      <c r="F893" s="71"/>
      <c r="G893" s="71"/>
      <c r="H893" s="71"/>
      <c r="I893" s="71"/>
      <c r="J893" s="71"/>
    </row>
    <row r="894" spans="4:10">
      <c r="D894" s="71"/>
      <c r="E894" s="71"/>
      <c r="F894" s="71"/>
      <c r="G894" s="71"/>
      <c r="H894" s="71"/>
      <c r="I894" s="71"/>
      <c r="J894" s="71"/>
    </row>
    <row r="895" spans="4:10">
      <c r="D895" s="71"/>
      <c r="E895" s="71"/>
      <c r="F895" s="71"/>
      <c r="G895" s="71"/>
      <c r="H895" s="71"/>
      <c r="I895" s="71"/>
      <c r="J895" s="71"/>
    </row>
    <row r="896" spans="4:10">
      <c r="D896" s="71"/>
      <c r="E896" s="71"/>
      <c r="F896" s="71"/>
      <c r="G896" s="71"/>
      <c r="H896" s="71"/>
      <c r="I896" s="71"/>
      <c r="J896" s="71"/>
    </row>
    <row r="897" spans="4:10">
      <c r="D897" s="71"/>
      <c r="E897" s="71"/>
      <c r="F897" s="71"/>
      <c r="G897" s="71"/>
      <c r="H897" s="71"/>
      <c r="I897" s="71"/>
      <c r="J897" s="71"/>
    </row>
    <row r="898" spans="4:10">
      <c r="D898" s="71"/>
      <c r="E898" s="71"/>
      <c r="F898" s="71"/>
      <c r="G898" s="71"/>
      <c r="H898" s="71"/>
      <c r="I898" s="71"/>
      <c r="J898" s="71"/>
    </row>
    <row r="899" spans="4:10">
      <c r="D899" s="71"/>
      <c r="E899" s="71"/>
      <c r="F899" s="71"/>
      <c r="G899" s="71"/>
      <c r="H899" s="71"/>
      <c r="I899" s="71"/>
      <c r="J899" s="71"/>
    </row>
    <row r="900" spans="4:10">
      <c r="D900" s="71"/>
      <c r="E900" s="71"/>
      <c r="F900" s="71"/>
      <c r="G900" s="71"/>
      <c r="H900" s="71"/>
      <c r="I900" s="71"/>
      <c r="J900" s="71"/>
    </row>
    <row r="901" spans="4:10">
      <c r="D901" s="71"/>
      <c r="E901" s="71"/>
      <c r="F901" s="71"/>
      <c r="G901" s="71"/>
      <c r="H901" s="71"/>
      <c r="I901" s="71"/>
      <c r="J901" s="71"/>
    </row>
    <row r="902" spans="4:10">
      <c r="D902" s="71"/>
      <c r="E902" s="71"/>
      <c r="F902" s="71"/>
      <c r="G902" s="71"/>
      <c r="H902" s="71"/>
      <c r="I902" s="71"/>
      <c r="J902" s="71"/>
    </row>
    <row r="903" spans="4:10">
      <c r="D903" s="71"/>
      <c r="E903" s="71"/>
      <c r="F903" s="71"/>
      <c r="G903" s="71"/>
      <c r="H903" s="71"/>
      <c r="I903" s="71"/>
      <c r="J903" s="71"/>
    </row>
    <row r="904" spans="4:10">
      <c r="D904" s="71"/>
      <c r="E904" s="71"/>
      <c r="F904" s="71"/>
      <c r="G904" s="71"/>
      <c r="H904" s="71"/>
      <c r="I904" s="71"/>
      <c r="J904" s="71"/>
    </row>
    <row r="905" spans="4:10">
      <c r="D905" s="71"/>
      <c r="E905" s="71"/>
      <c r="F905" s="71"/>
      <c r="G905" s="71"/>
      <c r="H905" s="71"/>
      <c r="I905" s="71"/>
      <c r="J905" s="71"/>
    </row>
    <row r="906" spans="4:10">
      <c r="D906" s="71"/>
      <c r="E906" s="71"/>
      <c r="F906" s="71"/>
      <c r="G906" s="71"/>
      <c r="H906" s="71"/>
      <c r="I906" s="71"/>
      <c r="J906" s="71"/>
    </row>
    <row r="907" spans="4:10">
      <c r="D907" s="71"/>
      <c r="E907" s="71"/>
      <c r="F907" s="71"/>
      <c r="G907" s="71"/>
      <c r="H907" s="71"/>
      <c r="I907" s="71"/>
      <c r="J907" s="71"/>
    </row>
    <row r="908" spans="4:10">
      <c r="D908" s="71"/>
      <c r="E908" s="71"/>
      <c r="F908" s="71"/>
      <c r="G908" s="71"/>
      <c r="H908" s="71"/>
      <c r="I908" s="71"/>
      <c r="J908" s="71"/>
    </row>
    <row r="909" spans="4:10">
      <c r="D909" s="71"/>
      <c r="E909" s="71"/>
      <c r="F909" s="71"/>
      <c r="G909" s="71"/>
      <c r="H909" s="71"/>
      <c r="I909" s="71"/>
      <c r="J909" s="71"/>
    </row>
    <row r="910" spans="4:10">
      <c r="D910" s="71"/>
      <c r="E910" s="71"/>
      <c r="F910" s="71"/>
      <c r="G910" s="71"/>
      <c r="H910" s="71"/>
      <c r="I910" s="71"/>
      <c r="J910" s="71"/>
    </row>
    <row r="911" spans="4:10">
      <c r="D911" s="71"/>
      <c r="E911" s="71"/>
      <c r="F911" s="71"/>
      <c r="G911" s="71"/>
      <c r="H911" s="71"/>
      <c r="I911" s="71"/>
      <c r="J911" s="71"/>
    </row>
    <row r="912" spans="4:10">
      <c r="D912" s="71"/>
      <c r="E912" s="71"/>
      <c r="F912" s="71"/>
      <c r="G912" s="71"/>
      <c r="H912" s="71"/>
      <c r="I912" s="71"/>
      <c r="J912" s="71"/>
    </row>
    <row r="913" spans="4:10">
      <c r="D913" s="71"/>
      <c r="E913" s="71"/>
      <c r="F913" s="71"/>
      <c r="G913" s="71"/>
      <c r="H913" s="71"/>
      <c r="I913" s="71"/>
      <c r="J913" s="71"/>
    </row>
    <row r="914" spans="4:10">
      <c r="D914" s="71"/>
      <c r="E914" s="71"/>
      <c r="F914" s="71"/>
      <c r="G914" s="71"/>
      <c r="H914" s="71"/>
      <c r="I914" s="71"/>
      <c r="J914" s="71"/>
    </row>
    <row r="915" spans="4:10">
      <c r="D915" s="71"/>
      <c r="E915" s="71"/>
      <c r="F915" s="71"/>
      <c r="G915" s="71"/>
      <c r="H915" s="71"/>
      <c r="I915" s="71"/>
      <c r="J915" s="71"/>
    </row>
    <row r="916" spans="4:10">
      <c r="D916" s="71"/>
      <c r="E916" s="71"/>
      <c r="F916" s="71"/>
      <c r="G916" s="71"/>
      <c r="H916" s="71"/>
      <c r="I916" s="71"/>
      <c r="J916" s="71"/>
    </row>
    <row r="917" spans="4:10">
      <c r="D917" s="71"/>
      <c r="E917" s="71"/>
      <c r="F917" s="71"/>
      <c r="G917" s="71"/>
      <c r="H917" s="71"/>
      <c r="I917" s="71"/>
      <c r="J917" s="71"/>
    </row>
    <row r="918" spans="4:10">
      <c r="D918" s="71"/>
      <c r="E918" s="71"/>
      <c r="F918" s="71"/>
      <c r="G918" s="71"/>
      <c r="H918" s="71"/>
      <c r="I918" s="71"/>
      <c r="J918" s="71"/>
    </row>
    <row r="919" spans="4:10">
      <c r="D919" s="71"/>
      <c r="E919" s="71"/>
      <c r="F919" s="71"/>
      <c r="G919" s="71"/>
      <c r="H919" s="71"/>
      <c r="I919" s="71"/>
      <c r="J919" s="71"/>
    </row>
    <row r="920" spans="4:10">
      <c r="D920" s="71"/>
      <c r="E920" s="71"/>
      <c r="F920" s="71"/>
      <c r="G920" s="71"/>
      <c r="H920" s="71"/>
      <c r="I920" s="71"/>
      <c r="J920" s="71"/>
    </row>
    <row r="921" spans="4:10">
      <c r="D921" s="71"/>
      <c r="E921" s="71"/>
      <c r="F921" s="71"/>
      <c r="G921" s="71"/>
      <c r="H921" s="71"/>
      <c r="I921" s="71"/>
      <c r="J921" s="71"/>
    </row>
    <row r="922" spans="4:10">
      <c r="D922" s="71"/>
      <c r="E922" s="71"/>
      <c r="F922" s="71"/>
      <c r="G922" s="71"/>
      <c r="H922" s="71"/>
      <c r="I922" s="71"/>
      <c r="J922" s="71"/>
    </row>
    <row r="923" spans="4:10">
      <c r="D923" s="71"/>
      <c r="E923" s="71"/>
      <c r="F923" s="71"/>
      <c r="G923" s="71"/>
      <c r="H923" s="71"/>
      <c r="I923" s="71"/>
      <c r="J923" s="71"/>
    </row>
    <row r="924" spans="4:10">
      <c r="D924" s="71"/>
      <c r="E924" s="71"/>
      <c r="F924" s="71"/>
      <c r="G924" s="71"/>
      <c r="H924" s="71"/>
      <c r="I924" s="71"/>
      <c r="J924" s="71"/>
    </row>
    <row r="925" spans="4:10">
      <c r="D925" s="71"/>
      <c r="E925" s="71"/>
      <c r="F925" s="71"/>
      <c r="G925" s="71"/>
      <c r="H925" s="71"/>
      <c r="I925" s="71"/>
      <c r="J925" s="71"/>
    </row>
    <row r="926" spans="4:10">
      <c r="D926" s="71"/>
      <c r="E926" s="71"/>
      <c r="F926" s="71"/>
      <c r="G926" s="71"/>
      <c r="H926" s="71"/>
      <c r="I926" s="71"/>
      <c r="J926" s="71"/>
    </row>
    <row r="927" spans="4:10">
      <c r="D927" s="71"/>
      <c r="E927" s="71"/>
      <c r="F927" s="71"/>
      <c r="G927" s="71"/>
      <c r="H927" s="71"/>
      <c r="I927" s="71"/>
      <c r="J927" s="71"/>
    </row>
    <row r="928" spans="4:10">
      <c r="D928" s="71"/>
      <c r="E928" s="71"/>
      <c r="F928" s="71"/>
      <c r="G928" s="71"/>
      <c r="H928" s="71"/>
      <c r="I928" s="71"/>
      <c r="J928" s="71"/>
    </row>
    <row r="929" spans="4:10">
      <c r="D929" s="71"/>
      <c r="E929" s="71"/>
      <c r="F929" s="71"/>
      <c r="G929" s="71"/>
      <c r="H929" s="71"/>
      <c r="I929" s="71"/>
      <c r="J929" s="71"/>
    </row>
    <row r="930" spans="4:10">
      <c r="D930" s="71"/>
      <c r="E930" s="71"/>
      <c r="F930" s="71"/>
      <c r="G930" s="71"/>
      <c r="H930" s="71"/>
      <c r="I930" s="71"/>
      <c r="J930" s="71"/>
    </row>
    <row r="931" spans="4:10">
      <c r="D931" s="71"/>
      <c r="E931" s="71"/>
      <c r="F931" s="71"/>
      <c r="G931" s="71"/>
      <c r="H931" s="71"/>
      <c r="I931" s="71"/>
      <c r="J931" s="71"/>
    </row>
    <row r="932" spans="4:10">
      <c r="D932" s="71"/>
      <c r="E932" s="71"/>
      <c r="F932" s="71"/>
      <c r="G932" s="71"/>
      <c r="H932" s="71"/>
      <c r="I932" s="71"/>
      <c r="J932" s="71"/>
    </row>
    <row r="933" spans="4:10">
      <c r="D933" s="71"/>
      <c r="E933" s="71"/>
      <c r="F933" s="71"/>
      <c r="G933" s="71"/>
      <c r="H933" s="71"/>
      <c r="I933" s="71"/>
      <c r="J933" s="71"/>
    </row>
    <row r="934" spans="4:10">
      <c r="D934" s="71"/>
      <c r="E934" s="71"/>
      <c r="F934" s="71"/>
      <c r="G934" s="71"/>
      <c r="H934" s="71"/>
      <c r="I934" s="71"/>
      <c r="J934" s="71"/>
    </row>
    <row r="935" spans="4:10">
      <c r="D935" s="71"/>
      <c r="E935" s="71"/>
      <c r="F935" s="71"/>
      <c r="G935" s="71"/>
      <c r="H935" s="71"/>
      <c r="I935" s="71"/>
      <c r="J935" s="71"/>
    </row>
    <row r="936" spans="4:10">
      <c r="D936" s="71"/>
      <c r="E936" s="71"/>
      <c r="F936" s="71"/>
      <c r="G936" s="71"/>
      <c r="H936" s="71"/>
      <c r="I936" s="71"/>
      <c r="J936" s="71"/>
    </row>
    <row r="937" spans="4:10">
      <c r="D937" s="71"/>
      <c r="E937" s="71"/>
      <c r="F937" s="71"/>
      <c r="G937" s="71"/>
      <c r="H937" s="71"/>
      <c r="I937" s="71"/>
      <c r="J937" s="71"/>
    </row>
    <row r="938" spans="4:10">
      <c r="D938" s="71"/>
      <c r="E938" s="71"/>
      <c r="F938" s="71"/>
      <c r="G938" s="71"/>
      <c r="H938" s="71"/>
      <c r="I938" s="71"/>
      <c r="J938" s="71"/>
    </row>
    <row r="939" spans="4:10">
      <c r="D939" s="71"/>
      <c r="E939" s="71"/>
      <c r="F939" s="71"/>
      <c r="G939" s="71"/>
      <c r="H939" s="71"/>
      <c r="I939" s="71"/>
      <c r="J939" s="71"/>
    </row>
    <row r="940" spans="4:10">
      <c r="D940" s="71"/>
      <c r="E940" s="71"/>
      <c r="F940" s="71"/>
      <c r="G940" s="71"/>
      <c r="H940" s="71"/>
      <c r="I940" s="71"/>
      <c r="J940" s="71"/>
    </row>
    <row r="941" spans="4:10">
      <c r="D941" s="71"/>
      <c r="E941" s="71"/>
      <c r="F941" s="71"/>
      <c r="G941" s="71"/>
      <c r="H941" s="71"/>
      <c r="I941" s="71"/>
      <c r="J941" s="71"/>
    </row>
    <row r="942" spans="4:10">
      <c r="D942" s="71"/>
      <c r="E942" s="71"/>
      <c r="F942" s="71"/>
      <c r="G942" s="71"/>
      <c r="H942" s="71"/>
      <c r="I942" s="71"/>
      <c r="J942" s="71"/>
    </row>
    <row r="943" spans="4:10">
      <c r="D943" s="71"/>
      <c r="E943" s="71"/>
      <c r="F943" s="71"/>
      <c r="G943" s="71"/>
      <c r="H943" s="71"/>
      <c r="I943" s="71"/>
      <c r="J943" s="71"/>
    </row>
    <row r="944" spans="4:10">
      <c r="D944" s="71"/>
      <c r="E944" s="71"/>
      <c r="F944" s="71"/>
      <c r="G944" s="71"/>
      <c r="H944" s="71"/>
      <c r="I944" s="71"/>
      <c r="J944" s="71"/>
    </row>
    <row r="945" spans="4:10">
      <c r="D945" s="71"/>
      <c r="E945" s="71"/>
      <c r="F945" s="71"/>
      <c r="G945" s="71"/>
      <c r="H945" s="71"/>
      <c r="I945" s="71"/>
      <c r="J945" s="71"/>
    </row>
    <row r="946" spans="4:10">
      <c r="D946" s="71"/>
      <c r="E946" s="71"/>
      <c r="F946" s="71"/>
      <c r="G946" s="71"/>
      <c r="H946" s="71"/>
      <c r="I946" s="71"/>
      <c r="J946" s="71"/>
    </row>
    <row r="947" spans="4:10">
      <c r="D947" s="71"/>
      <c r="E947" s="71"/>
      <c r="F947" s="71"/>
      <c r="G947" s="71"/>
      <c r="H947" s="71"/>
      <c r="I947" s="71"/>
      <c r="J947" s="71"/>
    </row>
    <row r="948" spans="4:10">
      <c r="D948" s="71"/>
      <c r="E948" s="71"/>
      <c r="F948" s="71"/>
      <c r="G948" s="71"/>
      <c r="H948" s="71"/>
      <c r="I948" s="71"/>
      <c r="J948" s="71"/>
    </row>
    <row r="949" spans="4:10">
      <c r="D949" s="71"/>
      <c r="E949" s="71"/>
      <c r="F949" s="71"/>
      <c r="G949" s="71"/>
      <c r="H949" s="71"/>
      <c r="I949" s="71"/>
      <c r="J949" s="71"/>
    </row>
    <row r="950" spans="4:10">
      <c r="D950" s="71"/>
      <c r="E950" s="71"/>
      <c r="F950" s="71"/>
      <c r="G950" s="71"/>
      <c r="H950" s="71"/>
      <c r="I950" s="71"/>
      <c r="J950" s="71"/>
    </row>
    <row r="951" spans="4:10">
      <c r="D951" s="71"/>
      <c r="E951" s="71"/>
      <c r="F951" s="71"/>
      <c r="G951" s="71"/>
      <c r="H951" s="71"/>
      <c r="I951" s="71"/>
      <c r="J951" s="71"/>
    </row>
    <row r="952" spans="4:10">
      <c r="D952" s="71"/>
      <c r="E952" s="71"/>
      <c r="F952" s="71"/>
      <c r="G952" s="71"/>
      <c r="H952" s="71"/>
      <c r="I952" s="71"/>
      <c r="J952" s="71"/>
    </row>
    <row r="953" spans="4:10">
      <c r="D953" s="71"/>
      <c r="E953" s="71"/>
      <c r="F953" s="71"/>
      <c r="G953" s="71"/>
      <c r="H953" s="71"/>
      <c r="I953" s="71"/>
      <c r="J953" s="71"/>
    </row>
    <row r="954" spans="4:10">
      <c r="D954" s="71"/>
      <c r="E954" s="71"/>
      <c r="F954" s="71"/>
      <c r="G954" s="71"/>
      <c r="H954" s="71"/>
      <c r="I954" s="71"/>
      <c r="J954" s="71"/>
    </row>
    <row r="955" spans="4:10">
      <c r="D955" s="71"/>
      <c r="E955" s="71"/>
      <c r="F955" s="71"/>
      <c r="G955" s="71"/>
      <c r="H955" s="71"/>
      <c r="I955" s="71"/>
      <c r="J955" s="71"/>
    </row>
    <row r="956" spans="4:10">
      <c r="D956" s="71"/>
      <c r="E956" s="71"/>
      <c r="F956" s="71"/>
      <c r="G956" s="71"/>
      <c r="H956" s="71"/>
      <c r="I956" s="71"/>
      <c r="J956" s="71"/>
    </row>
    <row r="957" spans="4:10">
      <c r="D957" s="71"/>
      <c r="E957" s="71"/>
      <c r="F957" s="71"/>
      <c r="G957" s="71"/>
      <c r="H957" s="71"/>
      <c r="I957" s="71"/>
      <c r="J957" s="71"/>
    </row>
    <row r="958" spans="4:10">
      <c r="D958" s="71"/>
      <c r="E958" s="71"/>
      <c r="F958" s="71"/>
      <c r="G958" s="71"/>
      <c r="H958" s="71"/>
      <c r="I958" s="71"/>
      <c r="J958" s="71"/>
    </row>
    <row r="959" spans="4:10">
      <c r="D959" s="71"/>
      <c r="E959" s="71"/>
      <c r="F959" s="71"/>
      <c r="G959" s="71"/>
      <c r="H959" s="71"/>
      <c r="I959" s="71"/>
      <c r="J959" s="71"/>
    </row>
    <row r="960" spans="4:10">
      <c r="D960" s="71"/>
      <c r="E960" s="71"/>
      <c r="F960" s="71"/>
      <c r="G960" s="71"/>
      <c r="H960" s="71"/>
      <c r="I960" s="71"/>
      <c r="J960" s="71"/>
    </row>
    <row r="961" spans="4:10">
      <c r="D961" s="71"/>
      <c r="E961" s="71"/>
      <c r="F961" s="71"/>
      <c r="G961" s="71"/>
      <c r="H961" s="71"/>
      <c r="I961" s="71"/>
      <c r="J961" s="71"/>
    </row>
    <row r="962" spans="4:10">
      <c r="D962" s="71"/>
      <c r="E962" s="71"/>
      <c r="F962" s="71"/>
      <c r="G962" s="71"/>
      <c r="H962" s="71"/>
      <c r="I962" s="71"/>
      <c r="J962" s="71"/>
    </row>
    <row r="963" spans="4:10">
      <c r="D963" s="71"/>
      <c r="E963" s="71"/>
      <c r="F963" s="71"/>
      <c r="G963" s="71"/>
      <c r="H963" s="71"/>
      <c r="I963" s="71"/>
      <c r="J963" s="71"/>
    </row>
    <row r="964" spans="4:10">
      <c r="D964" s="71"/>
      <c r="E964" s="71"/>
      <c r="F964" s="71"/>
      <c r="G964" s="71"/>
      <c r="H964" s="71"/>
      <c r="I964" s="71"/>
      <c r="J964" s="71"/>
    </row>
    <row r="965" spans="4:10">
      <c r="D965" s="71"/>
      <c r="E965" s="71"/>
      <c r="F965" s="71"/>
      <c r="G965" s="71"/>
      <c r="H965" s="71"/>
      <c r="I965" s="71"/>
      <c r="J965" s="71"/>
    </row>
    <row r="966" spans="4:10">
      <c r="D966" s="71"/>
      <c r="E966" s="71"/>
      <c r="F966" s="71"/>
      <c r="G966" s="71"/>
      <c r="H966" s="71"/>
      <c r="I966" s="71"/>
      <c r="J966" s="71"/>
    </row>
    <row r="967" spans="4:10">
      <c r="D967" s="71"/>
      <c r="E967" s="71"/>
      <c r="F967" s="71"/>
      <c r="G967" s="71"/>
      <c r="H967" s="71"/>
      <c r="I967" s="71"/>
      <c r="J967" s="71"/>
    </row>
    <row r="968" spans="4:10">
      <c r="D968" s="71"/>
      <c r="E968" s="71"/>
      <c r="F968" s="71"/>
      <c r="G968" s="71"/>
      <c r="H968" s="71"/>
      <c r="I968" s="71"/>
      <c r="J968" s="71"/>
    </row>
    <row r="969" spans="4:10">
      <c r="D969" s="71"/>
      <c r="E969" s="71"/>
      <c r="F969" s="71"/>
      <c r="G969" s="71"/>
      <c r="H969" s="71"/>
      <c r="I969" s="71"/>
      <c r="J969" s="71"/>
    </row>
    <row r="970" spans="4:10">
      <c r="D970" s="71"/>
      <c r="E970" s="71"/>
      <c r="F970" s="71"/>
      <c r="G970" s="71"/>
      <c r="H970" s="71"/>
      <c r="I970" s="71"/>
      <c r="J970" s="71"/>
    </row>
    <row r="971" spans="4:10">
      <c r="D971" s="71"/>
      <c r="E971" s="71"/>
      <c r="F971" s="71"/>
      <c r="G971" s="71"/>
      <c r="H971" s="71"/>
      <c r="I971" s="71"/>
      <c r="J971" s="71"/>
    </row>
    <row r="972" spans="4:10">
      <c r="D972" s="71"/>
      <c r="E972" s="71"/>
      <c r="F972" s="71"/>
      <c r="G972" s="71"/>
      <c r="H972" s="71"/>
      <c r="I972" s="71"/>
      <c r="J972" s="71"/>
    </row>
    <row r="973" spans="4:10">
      <c r="D973" s="71"/>
      <c r="E973" s="71"/>
      <c r="F973" s="71"/>
      <c r="G973" s="71"/>
      <c r="H973" s="71"/>
      <c r="I973" s="71"/>
      <c r="J973" s="71"/>
    </row>
    <row r="974" spans="4:10">
      <c r="D974" s="71"/>
      <c r="E974" s="71"/>
      <c r="F974" s="71"/>
      <c r="G974" s="71"/>
      <c r="H974" s="71"/>
      <c r="I974" s="71"/>
      <c r="J974" s="71"/>
    </row>
    <row r="975" spans="4:10">
      <c r="D975" s="71"/>
      <c r="E975" s="71"/>
      <c r="F975" s="71"/>
      <c r="G975" s="71"/>
      <c r="H975" s="71"/>
      <c r="I975" s="71"/>
      <c r="J975" s="71"/>
    </row>
    <row r="976" spans="4:10">
      <c r="D976" s="71"/>
      <c r="E976" s="71"/>
      <c r="F976" s="71"/>
      <c r="G976" s="71"/>
      <c r="H976" s="71"/>
      <c r="I976" s="71"/>
      <c r="J976" s="71"/>
    </row>
    <row r="977" spans="4:10">
      <c r="D977" s="71"/>
      <c r="E977" s="71"/>
      <c r="F977" s="71"/>
      <c r="G977" s="71"/>
      <c r="H977" s="71"/>
      <c r="I977" s="71"/>
      <c r="J977" s="71"/>
    </row>
    <row r="978" spans="4:10">
      <c r="D978" s="71"/>
      <c r="E978" s="71"/>
      <c r="F978" s="71"/>
      <c r="G978" s="71"/>
      <c r="H978" s="71"/>
      <c r="I978" s="71"/>
      <c r="J978" s="71"/>
    </row>
    <row r="979" spans="4:10">
      <c r="D979" s="71"/>
      <c r="E979" s="71"/>
      <c r="F979" s="71"/>
      <c r="G979" s="71"/>
      <c r="H979" s="71"/>
      <c r="I979" s="71"/>
      <c r="J979" s="71"/>
    </row>
    <row r="980" spans="4:10">
      <c r="D980" s="71"/>
      <c r="E980" s="71"/>
      <c r="F980" s="71"/>
      <c r="G980" s="71"/>
      <c r="H980" s="71"/>
      <c r="I980" s="71"/>
      <c r="J980" s="71"/>
    </row>
    <row r="981" spans="4:10">
      <c r="D981" s="71"/>
      <c r="E981" s="71"/>
      <c r="F981" s="71"/>
      <c r="G981" s="71"/>
      <c r="H981" s="71"/>
      <c r="I981" s="71"/>
      <c r="J981" s="71"/>
    </row>
    <row r="982" spans="4:10">
      <c r="D982" s="71"/>
      <c r="E982" s="71"/>
      <c r="F982" s="71"/>
      <c r="G982" s="71"/>
      <c r="H982" s="71"/>
      <c r="I982" s="71"/>
      <c r="J982" s="71"/>
    </row>
    <row r="983" spans="4:10">
      <c r="D983" s="71"/>
      <c r="E983" s="71"/>
      <c r="F983" s="71"/>
      <c r="G983" s="71"/>
      <c r="H983" s="71"/>
      <c r="I983" s="71"/>
      <c r="J983" s="71"/>
    </row>
    <row r="984" spans="4:10">
      <c r="D984" s="71"/>
      <c r="E984" s="71"/>
      <c r="F984" s="71"/>
      <c r="G984" s="71"/>
      <c r="H984" s="71"/>
      <c r="I984" s="71"/>
      <c r="J984" s="71"/>
    </row>
    <row r="985" spans="4:10">
      <c r="D985" s="71"/>
      <c r="E985" s="71"/>
      <c r="F985" s="71"/>
      <c r="G985" s="71"/>
      <c r="H985" s="71"/>
      <c r="I985" s="71"/>
      <c r="J985" s="71"/>
    </row>
    <row r="986" spans="4:10">
      <c r="D986" s="71"/>
      <c r="E986" s="71"/>
      <c r="F986" s="71"/>
      <c r="G986" s="71"/>
      <c r="H986" s="71"/>
      <c r="I986" s="71"/>
      <c r="J986" s="71"/>
    </row>
    <row r="987" spans="4:10">
      <c r="D987" s="71"/>
      <c r="E987" s="71"/>
      <c r="F987" s="71"/>
      <c r="G987" s="71"/>
      <c r="H987" s="71"/>
      <c r="I987" s="71"/>
      <c r="J987" s="71"/>
    </row>
    <row r="988" spans="4:10">
      <c r="D988" s="71"/>
      <c r="E988" s="71"/>
      <c r="F988" s="71"/>
      <c r="G988" s="71"/>
      <c r="H988" s="71"/>
      <c r="I988" s="71"/>
      <c r="J988" s="71"/>
    </row>
    <row r="989" spans="4:10">
      <c r="D989" s="71"/>
      <c r="E989" s="71"/>
      <c r="F989" s="71"/>
      <c r="G989" s="71"/>
      <c r="H989" s="71"/>
      <c r="I989" s="71"/>
      <c r="J989" s="71"/>
    </row>
    <row r="990" spans="4:10">
      <c r="D990" s="71"/>
      <c r="E990" s="71"/>
      <c r="F990" s="71"/>
      <c r="G990" s="71"/>
      <c r="H990" s="71"/>
      <c r="I990" s="71"/>
      <c r="J990" s="71"/>
    </row>
    <row r="991" spans="4:10">
      <c r="D991" s="71"/>
      <c r="E991" s="71"/>
      <c r="F991" s="71"/>
      <c r="G991" s="71"/>
      <c r="H991" s="71"/>
      <c r="I991" s="71"/>
      <c r="J991" s="71"/>
    </row>
    <row r="992" spans="4:10">
      <c r="D992" s="71"/>
      <c r="E992" s="71"/>
      <c r="F992" s="71"/>
      <c r="G992" s="71"/>
      <c r="H992" s="71"/>
      <c r="I992" s="71"/>
      <c r="J992" s="71"/>
    </row>
    <row r="993" spans="4:10">
      <c r="D993" s="71"/>
      <c r="E993" s="71"/>
      <c r="F993" s="71"/>
      <c r="G993" s="71"/>
      <c r="H993" s="71"/>
      <c r="I993" s="71"/>
      <c r="J993" s="71"/>
    </row>
    <row r="994" spans="4:10">
      <c r="D994" s="71"/>
      <c r="E994" s="71"/>
      <c r="F994" s="71"/>
      <c r="G994" s="71"/>
      <c r="H994" s="71"/>
      <c r="I994" s="71"/>
      <c r="J994" s="71"/>
    </row>
    <row r="995" spans="4:10">
      <c r="D995" s="71"/>
      <c r="E995" s="71"/>
      <c r="F995" s="71"/>
      <c r="G995" s="71"/>
      <c r="H995" s="71"/>
      <c r="I995" s="71"/>
      <c r="J995" s="71"/>
    </row>
    <row r="996" spans="4:10">
      <c r="D996" s="71"/>
      <c r="E996" s="71"/>
      <c r="F996" s="71"/>
      <c r="G996" s="71"/>
      <c r="H996" s="71"/>
      <c r="I996" s="71"/>
      <c r="J996" s="71"/>
    </row>
    <row r="997" spans="4:10">
      <c r="D997" s="71"/>
      <c r="E997" s="71"/>
      <c r="F997" s="71"/>
      <c r="G997" s="71"/>
      <c r="H997" s="71"/>
      <c r="I997" s="71"/>
      <c r="J997" s="71"/>
    </row>
    <row r="998" spans="4:10">
      <c r="D998" s="71"/>
      <c r="E998" s="71"/>
      <c r="F998" s="71"/>
      <c r="G998" s="71"/>
      <c r="H998" s="71"/>
      <c r="I998" s="71"/>
      <c r="J998" s="71"/>
    </row>
    <row r="999" spans="4:10">
      <c r="D999" s="71"/>
      <c r="E999" s="71"/>
      <c r="F999" s="71"/>
      <c r="G999" s="71"/>
      <c r="H999" s="71"/>
      <c r="I999" s="71"/>
      <c r="J999" s="71"/>
    </row>
    <row r="1000" spans="4:10">
      <c r="D1000" s="71"/>
      <c r="E1000" s="71"/>
      <c r="F1000" s="71"/>
      <c r="G1000" s="71"/>
      <c r="H1000" s="71"/>
      <c r="I1000" s="71"/>
      <c r="J1000" s="71"/>
    </row>
    <row r="1001" spans="4:10">
      <c r="D1001" s="71"/>
      <c r="E1001" s="71"/>
      <c r="F1001" s="71"/>
      <c r="G1001" s="71"/>
      <c r="H1001" s="71"/>
      <c r="I1001" s="71"/>
      <c r="J1001" s="71"/>
    </row>
    <row r="1002" spans="4:10">
      <c r="D1002" s="71"/>
      <c r="E1002" s="71"/>
      <c r="F1002" s="71"/>
      <c r="G1002" s="71"/>
      <c r="H1002" s="71"/>
      <c r="I1002" s="71"/>
      <c r="J1002" s="71"/>
    </row>
    <row r="1003" spans="4:10">
      <c r="D1003" s="71"/>
      <c r="E1003" s="71"/>
      <c r="F1003" s="71"/>
      <c r="G1003" s="71"/>
      <c r="H1003" s="71"/>
      <c r="I1003" s="71"/>
      <c r="J1003" s="71"/>
    </row>
    <row r="1004" spans="4:10">
      <c r="D1004" s="71"/>
      <c r="E1004" s="71"/>
      <c r="F1004" s="71"/>
      <c r="G1004" s="71"/>
      <c r="H1004" s="71"/>
      <c r="I1004" s="71"/>
      <c r="J1004" s="71"/>
    </row>
    <row r="1005" spans="4:10">
      <c r="D1005" s="71"/>
      <c r="E1005" s="71"/>
      <c r="F1005" s="71"/>
      <c r="G1005" s="71"/>
      <c r="H1005" s="71"/>
      <c r="I1005" s="71"/>
      <c r="J1005" s="71"/>
    </row>
    <row r="1006" spans="4:10">
      <c r="D1006" s="71"/>
      <c r="E1006" s="71"/>
      <c r="F1006" s="71"/>
      <c r="G1006" s="71"/>
      <c r="H1006" s="71"/>
      <c r="I1006" s="71"/>
      <c r="J1006" s="71"/>
    </row>
    <row r="1007" spans="4:10">
      <c r="D1007" s="71"/>
      <c r="E1007" s="71"/>
      <c r="F1007" s="71"/>
      <c r="G1007" s="71"/>
      <c r="H1007" s="71"/>
      <c r="I1007" s="71"/>
      <c r="J1007" s="71"/>
    </row>
    <row r="1008" spans="4:10">
      <c r="D1008" s="71"/>
      <c r="E1008" s="71"/>
      <c r="F1008" s="71"/>
      <c r="G1008" s="71"/>
      <c r="H1008" s="71"/>
      <c r="I1008" s="71"/>
      <c r="J1008" s="71"/>
    </row>
    <row r="1009" spans="4:10">
      <c r="D1009" s="71"/>
      <c r="E1009" s="71"/>
      <c r="F1009" s="71"/>
      <c r="G1009" s="71"/>
      <c r="H1009" s="71"/>
      <c r="I1009" s="71"/>
      <c r="J1009" s="71"/>
    </row>
    <row r="1010" spans="4:10">
      <c r="D1010" s="71"/>
      <c r="E1010" s="71"/>
      <c r="F1010" s="71"/>
      <c r="G1010" s="71"/>
      <c r="H1010" s="71"/>
      <c r="I1010" s="71"/>
      <c r="J1010" s="71"/>
    </row>
    <row r="1011" spans="4:10">
      <c r="D1011" s="71"/>
      <c r="E1011" s="71"/>
      <c r="F1011" s="71"/>
      <c r="G1011" s="71"/>
      <c r="H1011" s="71"/>
      <c r="I1011" s="71"/>
      <c r="J1011" s="71"/>
    </row>
    <row r="1012" spans="4:10">
      <c r="D1012" s="71"/>
      <c r="E1012" s="71"/>
      <c r="F1012" s="71"/>
      <c r="G1012" s="71"/>
      <c r="H1012" s="71"/>
      <c r="I1012" s="71"/>
      <c r="J1012" s="71"/>
    </row>
    <row r="1013" spans="4:10">
      <c r="D1013" s="71"/>
      <c r="E1013" s="71"/>
      <c r="F1013" s="71"/>
      <c r="G1013" s="71"/>
      <c r="H1013" s="71"/>
      <c r="I1013" s="71"/>
      <c r="J1013" s="71"/>
    </row>
    <row r="1014" spans="4:10">
      <c r="D1014" s="71"/>
      <c r="E1014" s="71"/>
      <c r="F1014" s="71"/>
      <c r="G1014" s="71"/>
      <c r="H1014" s="71"/>
      <c r="I1014" s="71"/>
      <c r="J1014" s="71"/>
    </row>
    <row r="1015" spans="4:10">
      <c r="D1015" s="71"/>
      <c r="E1015" s="71"/>
      <c r="F1015" s="71"/>
      <c r="G1015" s="71"/>
      <c r="H1015" s="71"/>
      <c r="I1015" s="71"/>
      <c r="J1015" s="71"/>
    </row>
    <row r="1016" spans="4:10">
      <c r="D1016" s="71"/>
      <c r="E1016" s="71"/>
      <c r="F1016" s="71"/>
      <c r="G1016" s="71"/>
      <c r="H1016" s="71"/>
      <c r="I1016" s="71"/>
      <c r="J1016" s="71"/>
    </row>
    <row r="1017" spans="4:10">
      <c r="D1017" s="71"/>
      <c r="E1017" s="71"/>
      <c r="F1017" s="71"/>
      <c r="G1017" s="71"/>
      <c r="H1017" s="71"/>
      <c r="I1017" s="71"/>
      <c r="J1017" s="71"/>
    </row>
    <row r="1018" spans="4:10">
      <c r="D1018" s="71"/>
      <c r="E1018" s="71"/>
      <c r="F1018" s="71"/>
      <c r="G1018" s="71"/>
      <c r="H1018" s="71"/>
      <c r="I1018" s="71"/>
      <c r="J1018" s="71"/>
    </row>
    <row r="1019" spans="4:10">
      <c r="D1019" s="71"/>
      <c r="E1019" s="71"/>
      <c r="F1019" s="71"/>
      <c r="G1019" s="71"/>
      <c r="H1019" s="71"/>
      <c r="I1019" s="71"/>
      <c r="J1019" s="71"/>
    </row>
    <row r="1020" spans="4:10">
      <c r="D1020" s="71"/>
      <c r="E1020" s="71"/>
      <c r="F1020" s="71"/>
      <c r="G1020" s="71"/>
      <c r="H1020" s="71"/>
      <c r="I1020" s="71"/>
      <c r="J1020" s="71"/>
    </row>
    <row r="1021" spans="4:10">
      <c r="D1021" s="71"/>
      <c r="E1021" s="71"/>
      <c r="F1021" s="71"/>
      <c r="G1021" s="71"/>
      <c r="H1021" s="71"/>
      <c r="I1021" s="71"/>
      <c r="J1021" s="71"/>
    </row>
    <row r="1022" spans="4:10">
      <c r="D1022" s="71"/>
      <c r="E1022" s="71"/>
      <c r="F1022" s="71"/>
      <c r="G1022" s="71"/>
      <c r="H1022" s="71"/>
      <c r="I1022" s="71"/>
      <c r="J1022" s="71"/>
    </row>
    <row r="1023" spans="4:10">
      <c r="D1023" s="71"/>
      <c r="E1023" s="71"/>
      <c r="F1023" s="71"/>
      <c r="G1023" s="71"/>
      <c r="H1023" s="71"/>
      <c r="I1023" s="71"/>
      <c r="J1023" s="71"/>
    </row>
    <row r="1024" spans="4:10">
      <c r="D1024" s="71"/>
      <c r="E1024" s="71"/>
      <c r="F1024" s="71"/>
      <c r="G1024" s="71"/>
      <c r="H1024" s="71"/>
      <c r="I1024" s="71"/>
      <c r="J1024" s="71"/>
    </row>
    <row r="1025" spans="4:10">
      <c r="D1025" s="71"/>
      <c r="E1025" s="71"/>
      <c r="F1025" s="71"/>
      <c r="G1025" s="71"/>
      <c r="H1025" s="71"/>
      <c r="I1025" s="71"/>
      <c r="J1025" s="71"/>
    </row>
    <row r="1026" spans="4:10">
      <c r="D1026" s="71"/>
      <c r="E1026" s="71"/>
      <c r="F1026" s="71"/>
      <c r="G1026" s="71"/>
      <c r="H1026" s="71"/>
      <c r="I1026" s="71"/>
      <c r="J1026" s="71"/>
    </row>
    <row r="1027" spans="4:10">
      <c r="D1027" s="71"/>
      <c r="E1027" s="71"/>
      <c r="F1027" s="71"/>
      <c r="G1027" s="71"/>
      <c r="H1027" s="71"/>
      <c r="I1027" s="71"/>
      <c r="J1027" s="71"/>
    </row>
    <row r="1028" spans="4:10">
      <c r="D1028" s="71"/>
      <c r="E1028" s="71"/>
      <c r="F1028" s="71"/>
      <c r="G1028" s="71"/>
      <c r="H1028" s="71"/>
      <c r="I1028" s="71"/>
      <c r="J1028" s="71"/>
    </row>
    <row r="1029" spans="4:10">
      <c r="D1029" s="71"/>
      <c r="E1029" s="71"/>
      <c r="F1029" s="71"/>
      <c r="G1029" s="71"/>
      <c r="H1029" s="71"/>
      <c r="I1029" s="71"/>
      <c r="J1029" s="71"/>
    </row>
    <row r="1030" spans="4:10">
      <c r="D1030" s="71"/>
      <c r="E1030" s="71"/>
      <c r="F1030" s="71"/>
      <c r="G1030" s="71"/>
      <c r="H1030" s="71"/>
      <c r="I1030" s="71"/>
      <c r="J1030" s="71"/>
    </row>
    <row r="1031" spans="4:10">
      <c r="D1031" s="71"/>
      <c r="E1031" s="71"/>
      <c r="F1031" s="71"/>
      <c r="G1031" s="71"/>
      <c r="H1031" s="71"/>
      <c r="I1031" s="71"/>
      <c r="J1031" s="71"/>
    </row>
    <row r="1032" spans="4:10">
      <c r="D1032" s="71"/>
      <c r="E1032" s="71"/>
      <c r="F1032" s="71"/>
      <c r="G1032" s="71"/>
      <c r="H1032" s="71"/>
      <c r="I1032" s="71"/>
      <c r="J1032" s="71"/>
    </row>
    <row r="1033" spans="4:10">
      <c r="D1033" s="71"/>
      <c r="E1033" s="71"/>
      <c r="F1033" s="71"/>
      <c r="G1033" s="71"/>
      <c r="H1033" s="71"/>
      <c r="I1033" s="71"/>
      <c r="J1033" s="71"/>
    </row>
    <row r="1034" spans="4:10">
      <c r="D1034" s="71"/>
      <c r="E1034" s="71"/>
      <c r="F1034" s="71"/>
      <c r="G1034" s="71"/>
      <c r="H1034" s="71"/>
      <c r="I1034" s="71"/>
      <c r="J1034" s="71"/>
    </row>
    <row r="1035" spans="4:10">
      <c r="D1035" s="71"/>
      <c r="E1035" s="71"/>
      <c r="F1035" s="71"/>
      <c r="G1035" s="71"/>
      <c r="H1035" s="71"/>
      <c r="I1035" s="71"/>
      <c r="J1035" s="71"/>
    </row>
    <row r="1036" spans="4:10">
      <c r="D1036" s="71"/>
      <c r="E1036" s="71"/>
      <c r="F1036" s="71"/>
      <c r="G1036" s="71"/>
      <c r="H1036" s="71"/>
      <c r="I1036" s="71"/>
      <c r="J1036" s="71"/>
    </row>
    <row r="1037" spans="4:10">
      <c r="D1037" s="71"/>
      <c r="E1037" s="71"/>
      <c r="F1037" s="71"/>
      <c r="G1037" s="71"/>
      <c r="H1037" s="71"/>
      <c r="I1037" s="71"/>
      <c r="J1037" s="71"/>
    </row>
    <row r="1038" spans="4:10">
      <c r="D1038" s="71"/>
      <c r="E1038" s="71"/>
      <c r="F1038" s="71"/>
      <c r="G1038" s="71"/>
      <c r="H1038" s="71"/>
      <c r="I1038" s="71"/>
      <c r="J1038" s="71"/>
    </row>
    <row r="1039" spans="4:10">
      <c r="D1039" s="71"/>
      <c r="E1039" s="71"/>
      <c r="F1039" s="71"/>
      <c r="G1039" s="71"/>
      <c r="H1039" s="71"/>
      <c r="I1039" s="71"/>
      <c r="J1039" s="71"/>
    </row>
    <row r="1040" spans="4:10">
      <c r="D1040" s="71"/>
      <c r="E1040" s="71"/>
      <c r="F1040" s="71"/>
      <c r="G1040" s="71"/>
      <c r="H1040" s="71"/>
      <c r="I1040" s="71"/>
      <c r="J1040" s="71"/>
    </row>
    <row r="1041" spans="4:10">
      <c r="D1041" s="71"/>
      <c r="E1041" s="71"/>
      <c r="F1041" s="71"/>
      <c r="G1041" s="71"/>
      <c r="H1041" s="71"/>
      <c r="I1041" s="71"/>
      <c r="J1041" s="71"/>
    </row>
    <row r="1042" spans="4:10">
      <c r="D1042" s="71"/>
      <c r="E1042" s="71"/>
      <c r="F1042" s="71"/>
      <c r="G1042" s="71"/>
      <c r="H1042" s="71"/>
      <c r="I1042" s="71"/>
      <c r="J1042" s="71"/>
    </row>
    <row r="1043" spans="4:10">
      <c r="D1043" s="71"/>
      <c r="E1043" s="71"/>
      <c r="F1043" s="71"/>
      <c r="G1043" s="71"/>
      <c r="H1043" s="71"/>
      <c r="I1043" s="71"/>
      <c r="J1043" s="71"/>
    </row>
    <row r="1044" spans="4:10">
      <c r="D1044" s="71"/>
      <c r="E1044" s="71"/>
      <c r="F1044" s="71"/>
      <c r="G1044" s="71"/>
      <c r="H1044" s="71"/>
      <c r="I1044" s="71"/>
      <c r="J1044" s="71"/>
    </row>
    <row r="1045" spans="4:10">
      <c r="D1045" s="71"/>
      <c r="E1045" s="71"/>
      <c r="F1045" s="71"/>
      <c r="G1045" s="71"/>
      <c r="H1045" s="71"/>
      <c r="I1045" s="71"/>
      <c r="J1045" s="71"/>
    </row>
    <row r="1046" spans="4:10">
      <c r="D1046" s="71"/>
      <c r="E1046" s="71"/>
      <c r="F1046" s="71"/>
      <c r="G1046" s="71"/>
      <c r="H1046" s="71"/>
      <c r="I1046" s="71"/>
      <c r="J1046" s="71"/>
    </row>
    <row r="1047" spans="4:10">
      <c r="D1047" s="71"/>
      <c r="E1047" s="71"/>
      <c r="F1047" s="71"/>
      <c r="G1047" s="71"/>
      <c r="H1047" s="71"/>
      <c r="I1047" s="71"/>
      <c r="J1047" s="71"/>
    </row>
    <row r="1048" spans="4:10">
      <c r="D1048" s="71"/>
      <c r="E1048" s="71"/>
      <c r="F1048" s="71"/>
      <c r="G1048" s="71"/>
      <c r="H1048" s="71"/>
      <c r="I1048" s="71"/>
      <c r="J1048" s="71"/>
    </row>
    <row r="1049" spans="4:10">
      <c r="D1049" s="71"/>
      <c r="E1049" s="71"/>
      <c r="F1049" s="71"/>
      <c r="G1049" s="71"/>
      <c r="H1049" s="71"/>
      <c r="I1049" s="71"/>
      <c r="J1049" s="71"/>
    </row>
    <row r="1050" spans="4:10">
      <c r="D1050" s="71"/>
      <c r="E1050" s="71"/>
      <c r="F1050" s="71"/>
      <c r="G1050" s="71"/>
      <c r="H1050" s="71"/>
      <c r="I1050" s="71"/>
      <c r="J1050" s="71"/>
    </row>
    <row r="1051" spans="4:10">
      <c r="D1051" s="71"/>
      <c r="E1051" s="71"/>
      <c r="F1051" s="71"/>
      <c r="G1051" s="71"/>
      <c r="H1051" s="71"/>
      <c r="I1051" s="71"/>
      <c r="J1051" s="71"/>
    </row>
    <row r="1052" spans="4:10">
      <c r="D1052" s="71"/>
      <c r="E1052" s="71"/>
      <c r="F1052" s="71"/>
      <c r="G1052" s="71"/>
      <c r="H1052" s="71"/>
      <c r="I1052" s="71"/>
      <c r="J1052" s="71"/>
    </row>
    <row r="1053" spans="4:10">
      <c r="D1053" s="71"/>
      <c r="E1053" s="71"/>
      <c r="F1053" s="71"/>
      <c r="G1053" s="71"/>
      <c r="H1053" s="71"/>
      <c r="I1053" s="71"/>
      <c r="J1053" s="71"/>
    </row>
    <row r="1054" spans="4:10">
      <c r="D1054" s="71"/>
      <c r="E1054" s="71"/>
      <c r="F1054" s="71"/>
      <c r="G1054" s="71"/>
      <c r="H1054" s="71"/>
      <c r="I1054" s="71"/>
      <c r="J1054" s="71"/>
    </row>
    <row r="1055" spans="4:10">
      <c r="D1055" s="71"/>
      <c r="E1055" s="71"/>
      <c r="F1055" s="71"/>
      <c r="G1055" s="71"/>
      <c r="H1055" s="71"/>
      <c r="I1055" s="71"/>
      <c r="J1055" s="71"/>
    </row>
    <row r="1056" spans="4:10">
      <c r="D1056" s="71"/>
      <c r="E1056" s="71"/>
      <c r="F1056" s="71"/>
      <c r="G1056" s="71"/>
      <c r="H1056" s="71"/>
      <c r="I1056" s="71"/>
      <c r="J1056" s="71"/>
    </row>
    <row r="1057" spans="4:10">
      <c r="D1057" s="71"/>
      <c r="E1057" s="71"/>
      <c r="F1057" s="71"/>
      <c r="G1057" s="71"/>
      <c r="H1057" s="71"/>
      <c r="I1057" s="71"/>
      <c r="J1057" s="71"/>
    </row>
    <row r="1058" spans="4:10">
      <c r="D1058" s="71"/>
      <c r="E1058" s="71"/>
      <c r="F1058" s="71"/>
      <c r="G1058" s="71"/>
      <c r="H1058" s="71"/>
      <c r="I1058" s="71"/>
      <c r="J1058" s="71"/>
    </row>
    <row r="1059" spans="4:10">
      <c r="D1059" s="71"/>
      <c r="E1059" s="71"/>
      <c r="F1059" s="71"/>
      <c r="G1059" s="71"/>
      <c r="H1059" s="71"/>
      <c r="I1059" s="71"/>
      <c r="J1059" s="71"/>
    </row>
    <row r="1060" spans="4:10">
      <c r="D1060" s="71"/>
      <c r="E1060" s="71"/>
      <c r="F1060" s="71"/>
      <c r="G1060" s="71"/>
      <c r="H1060" s="71"/>
      <c r="I1060" s="71"/>
      <c r="J1060" s="71"/>
    </row>
    <row r="1061" spans="4:10">
      <c r="D1061" s="71"/>
      <c r="E1061" s="71"/>
      <c r="F1061" s="71"/>
      <c r="G1061" s="71"/>
      <c r="H1061" s="71"/>
      <c r="I1061" s="71"/>
      <c r="J1061" s="71"/>
    </row>
    <row r="1062" spans="4:10">
      <c r="D1062" s="71"/>
      <c r="E1062" s="71"/>
      <c r="F1062" s="71"/>
      <c r="G1062" s="71"/>
      <c r="H1062" s="71"/>
      <c r="I1062" s="71"/>
      <c r="J1062" s="71"/>
    </row>
    <row r="1063" spans="4:10">
      <c r="D1063" s="71"/>
      <c r="E1063" s="71"/>
      <c r="F1063" s="71"/>
      <c r="G1063" s="71"/>
      <c r="H1063" s="71"/>
      <c r="I1063" s="71"/>
      <c r="J1063" s="71"/>
    </row>
    <row r="1064" spans="4:10">
      <c r="D1064" s="71"/>
      <c r="E1064" s="71"/>
      <c r="F1064" s="71"/>
      <c r="G1064" s="71"/>
      <c r="H1064" s="71"/>
      <c r="I1064" s="71"/>
      <c r="J1064" s="71"/>
    </row>
    <row r="1065" spans="4:10">
      <c r="D1065" s="71"/>
      <c r="E1065" s="71"/>
      <c r="F1065" s="71"/>
      <c r="G1065" s="71"/>
      <c r="H1065" s="71"/>
      <c r="I1065" s="71"/>
      <c r="J1065" s="71"/>
    </row>
    <row r="1066" spans="4:10">
      <c r="D1066" s="71"/>
      <c r="E1066" s="71"/>
      <c r="F1066" s="71"/>
      <c r="G1066" s="71"/>
      <c r="H1066" s="71"/>
      <c r="I1066" s="71"/>
      <c r="J1066" s="71"/>
    </row>
    <row r="1067" spans="4:10">
      <c r="D1067" s="71"/>
      <c r="E1067" s="71"/>
      <c r="F1067" s="71"/>
      <c r="G1067" s="71"/>
      <c r="H1067" s="71"/>
      <c r="I1067" s="71"/>
      <c r="J1067" s="71"/>
    </row>
    <row r="1068" spans="4:10">
      <c r="D1068" s="71"/>
      <c r="E1068" s="71"/>
      <c r="F1068" s="71"/>
      <c r="G1068" s="71"/>
      <c r="H1068" s="71"/>
      <c r="I1068" s="71"/>
      <c r="J1068" s="71"/>
    </row>
    <row r="1069" spans="4:10">
      <c r="D1069" s="71"/>
      <c r="E1069" s="71"/>
      <c r="F1069" s="71"/>
      <c r="G1069" s="71"/>
      <c r="H1069" s="71"/>
      <c r="I1069" s="71"/>
      <c r="J1069" s="71"/>
    </row>
    <row r="1070" spans="4:10">
      <c r="D1070" s="71"/>
      <c r="E1070" s="71"/>
      <c r="F1070" s="71"/>
      <c r="G1070" s="71"/>
      <c r="H1070" s="71"/>
      <c r="I1070" s="71"/>
      <c r="J1070" s="71"/>
    </row>
    <row r="1071" spans="4:10">
      <c r="D1071" s="71"/>
      <c r="E1071" s="71"/>
      <c r="F1071" s="71"/>
      <c r="G1071" s="71"/>
      <c r="H1071" s="71"/>
      <c r="I1071" s="71"/>
      <c r="J1071" s="71"/>
    </row>
    <row r="1072" spans="4:10">
      <c r="D1072" s="71"/>
      <c r="E1072" s="71"/>
      <c r="F1072" s="71"/>
      <c r="G1072" s="71"/>
      <c r="H1072" s="71"/>
      <c r="I1072" s="71"/>
      <c r="J1072" s="71"/>
    </row>
    <row r="1073" spans="4:10">
      <c r="D1073" s="71"/>
      <c r="E1073" s="71"/>
      <c r="F1073" s="71"/>
      <c r="G1073" s="71"/>
      <c r="H1073" s="71"/>
      <c r="I1073" s="71"/>
      <c r="J1073" s="71"/>
    </row>
    <row r="1074" spans="4:10">
      <c r="D1074" s="71"/>
      <c r="E1074" s="71"/>
      <c r="F1074" s="71"/>
      <c r="G1074" s="71"/>
      <c r="H1074" s="71"/>
      <c r="I1074" s="71"/>
      <c r="J1074" s="71"/>
    </row>
    <row r="1075" spans="4:10">
      <c r="D1075" s="71"/>
      <c r="E1075" s="71"/>
      <c r="F1075" s="71"/>
      <c r="G1075" s="71"/>
      <c r="H1075" s="71"/>
      <c r="I1075" s="71"/>
      <c r="J1075" s="71"/>
    </row>
    <row r="1076" spans="4:10">
      <c r="D1076" s="71"/>
      <c r="E1076" s="71"/>
      <c r="F1076" s="71"/>
      <c r="G1076" s="71"/>
      <c r="H1076" s="71"/>
      <c r="I1076" s="71"/>
      <c r="J1076" s="71"/>
    </row>
    <row r="1077" spans="4:10">
      <c r="D1077" s="71"/>
      <c r="E1077" s="71"/>
      <c r="F1077" s="71"/>
      <c r="G1077" s="71"/>
      <c r="H1077" s="71"/>
      <c r="I1077" s="71"/>
      <c r="J1077" s="71"/>
    </row>
    <row r="1078" spans="4:10">
      <c r="D1078" s="71"/>
      <c r="E1078" s="71"/>
      <c r="F1078" s="71"/>
      <c r="G1078" s="71"/>
      <c r="H1078" s="71"/>
      <c r="I1078" s="71"/>
      <c r="J1078" s="71"/>
    </row>
    <row r="1079" spans="4:10">
      <c r="D1079" s="71"/>
      <c r="E1079" s="71"/>
      <c r="F1079" s="71"/>
      <c r="G1079" s="71"/>
      <c r="H1079" s="71"/>
      <c r="I1079" s="71"/>
      <c r="J1079" s="71"/>
    </row>
    <row r="1080" spans="4:10">
      <c r="D1080" s="71"/>
      <c r="E1080" s="71"/>
      <c r="F1080" s="71"/>
      <c r="G1080" s="71"/>
      <c r="H1080" s="71"/>
      <c r="I1080" s="71"/>
      <c r="J1080" s="71"/>
    </row>
    <row r="1081" spans="4:10">
      <c r="D1081" s="71"/>
      <c r="E1081" s="71"/>
      <c r="F1081" s="71"/>
      <c r="G1081" s="71"/>
      <c r="H1081" s="71"/>
      <c r="I1081" s="71"/>
      <c r="J1081" s="71"/>
    </row>
    <row r="1082" spans="4:10">
      <c r="D1082" s="71"/>
      <c r="E1082" s="71"/>
      <c r="F1082" s="71"/>
      <c r="G1082" s="71"/>
      <c r="H1082" s="71"/>
      <c r="I1082" s="71"/>
      <c r="J1082" s="71"/>
    </row>
    <row r="1083" spans="4:10">
      <c r="D1083" s="71"/>
      <c r="E1083" s="71"/>
      <c r="F1083" s="71"/>
      <c r="G1083" s="71"/>
      <c r="H1083" s="71"/>
      <c r="I1083" s="71"/>
      <c r="J1083" s="71"/>
    </row>
    <row r="1084" spans="4:10">
      <c r="D1084" s="71"/>
      <c r="E1084" s="71"/>
      <c r="F1084" s="71"/>
      <c r="G1084" s="71"/>
      <c r="H1084" s="71"/>
      <c r="I1084" s="71"/>
      <c r="J1084" s="71"/>
    </row>
    <row r="1085" spans="4:10">
      <c r="D1085" s="71"/>
      <c r="E1085" s="71"/>
      <c r="F1085" s="71"/>
      <c r="G1085" s="71"/>
      <c r="H1085" s="71"/>
      <c r="I1085" s="71"/>
      <c r="J1085" s="71"/>
    </row>
    <row r="1086" spans="4:10">
      <c r="D1086" s="71"/>
      <c r="E1086" s="71"/>
      <c r="F1086" s="71"/>
      <c r="G1086" s="71"/>
      <c r="H1086" s="71"/>
      <c r="I1086" s="71"/>
      <c r="J1086" s="71"/>
    </row>
    <row r="1087" spans="4:10">
      <c r="D1087" s="71"/>
      <c r="E1087" s="71"/>
      <c r="F1087" s="71"/>
      <c r="G1087" s="71"/>
      <c r="H1087" s="71"/>
      <c r="I1087" s="71"/>
      <c r="J1087" s="71"/>
    </row>
    <row r="1088" spans="4:10">
      <c r="D1088" s="71"/>
      <c r="E1088" s="71"/>
      <c r="F1088" s="71"/>
      <c r="G1088" s="71"/>
      <c r="H1088" s="71"/>
      <c r="I1088" s="71"/>
      <c r="J1088" s="71"/>
    </row>
    <row r="1089" spans="4:10">
      <c r="D1089" s="71"/>
      <c r="E1089" s="71"/>
      <c r="F1089" s="71"/>
      <c r="G1089" s="71"/>
      <c r="H1089" s="71"/>
      <c r="I1089" s="71"/>
      <c r="J1089" s="71"/>
    </row>
    <row r="1090" spans="4:10">
      <c r="D1090" s="71"/>
      <c r="E1090" s="71"/>
      <c r="F1090" s="71"/>
      <c r="G1090" s="71"/>
      <c r="H1090" s="71"/>
      <c r="I1090" s="71"/>
      <c r="J1090" s="71"/>
    </row>
    <row r="1091" spans="4:10">
      <c r="D1091" s="71"/>
      <c r="E1091" s="71"/>
      <c r="F1091" s="71"/>
      <c r="G1091" s="71"/>
      <c r="H1091" s="71"/>
      <c r="I1091" s="71"/>
      <c r="J1091" s="71"/>
    </row>
    <row r="1092" spans="4:10">
      <c r="D1092" s="71"/>
      <c r="E1092" s="71"/>
      <c r="F1092" s="71"/>
      <c r="G1092" s="71"/>
      <c r="H1092" s="71"/>
      <c r="I1092" s="71"/>
      <c r="J1092" s="71"/>
    </row>
    <row r="1093" spans="4:10">
      <c r="D1093" s="71"/>
      <c r="E1093" s="71"/>
      <c r="F1093" s="71"/>
      <c r="G1093" s="71"/>
      <c r="H1093" s="71"/>
      <c r="I1093" s="71"/>
      <c r="J1093" s="71"/>
    </row>
    <row r="1094" spans="4:10">
      <c r="D1094" s="71"/>
      <c r="E1094" s="71"/>
      <c r="F1094" s="71"/>
      <c r="G1094" s="71"/>
      <c r="H1094" s="71"/>
      <c r="I1094" s="71"/>
      <c r="J1094" s="71"/>
    </row>
    <row r="1095" spans="4:10">
      <c r="D1095" s="71"/>
      <c r="E1095" s="71"/>
      <c r="F1095" s="71"/>
      <c r="G1095" s="71"/>
      <c r="H1095" s="71"/>
      <c r="I1095" s="71"/>
      <c r="J1095" s="71"/>
    </row>
    <row r="1096" spans="4:10">
      <c r="D1096" s="71"/>
      <c r="E1096" s="71"/>
      <c r="F1096" s="71"/>
      <c r="G1096" s="71"/>
      <c r="H1096" s="71"/>
      <c r="I1096" s="71"/>
      <c r="J1096" s="71"/>
    </row>
    <row r="1097" spans="4:10">
      <c r="D1097" s="71"/>
      <c r="E1097" s="71"/>
      <c r="F1097" s="71"/>
      <c r="G1097" s="71"/>
      <c r="H1097" s="71"/>
      <c r="I1097" s="71"/>
      <c r="J1097" s="71"/>
    </row>
    <row r="1098" spans="4:10">
      <c r="D1098" s="71"/>
      <c r="E1098" s="71"/>
      <c r="F1098" s="71"/>
      <c r="G1098" s="71"/>
      <c r="H1098" s="71"/>
      <c r="I1098" s="71"/>
      <c r="J1098" s="71"/>
    </row>
    <row r="1099" spans="4:10">
      <c r="D1099" s="71"/>
      <c r="E1099" s="71"/>
      <c r="F1099" s="71"/>
      <c r="G1099" s="71"/>
      <c r="H1099" s="71"/>
      <c r="I1099" s="71"/>
      <c r="J1099" s="71"/>
    </row>
    <row r="1100" spans="4:10">
      <c r="D1100" s="71"/>
      <c r="E1100" s="71"/>
      <c r="F1100" s="71"/>
      <c r="G1100" s="71"/>
      <c r="H1100" s="71"/>
      <c r="I1100" s="71"/>
      <c r="J1100" s="71"/>
    </row>
    <row r="1101" spans="4:10">
      <c r="D1101" s="71"/>
      <c r="E1101" s="71"/>
      <c r="F1101" s="71"/>
      <c r="G1101" s="71"/>
      <c r="H1101" s="71"/>
      <c r="I1101" s="71"/>
      <c r="J1101" s="71"/>
    </row>
    <row r="1102" spans="4:10">
      <c r="D1102" s="71"/>
      <c r="E1102" s="71"/>
      <c r="F1102" s="71"/>
      <c r="G1102" s="71"/>
      <c r="H1102" s="71"/>
      <c r="I1102" s="71"/>
      <c r="J1102" s="71"/>
    </row>
    <row r="1103" spans="4:10">
      <c r="D1103" s="71"/>
      <c r="E1103" s="71"/>
      <c r="F1103" s="71"/>
      <c r="G1103" s="71"/>
      <c r="H1103" s="71"/>
      <c r="I1103" s="71"/>
      <c r="J1103" s="71"/>
    </row>
    <row r="1104" spans="4:10">
      <c r="D1104" s="71"/>
      <c r="E1104" s="71"/>
      <c r="F1104" s="71"/>
      <c r="G1104" s="71"/>
      <c r="H1104" s="71"/>
      <c r="I1104" s="71"/>
      <c r="J1104" s="71"/>
    </row>
    <row r="1105" spans="4:10">
      <c r="D1105" s="71"/>
      <c r="E1105" s="71"/>
      <c r="F1105" s="71"/>
      <c r="G1105" s="71"/>
      <c r="H1105" s="71"/>
      <c r="I1105" s="71"/>
      <c r="J1105" s="71"/>
    </row>
    <row r="1106" spans="4:10">
      <c r="D1106" s="71"/>
      <c r="E1106" s="71"/>
      <c r="F1106" s="71"/>
      <c r="G1106" s="71"/>
      <c r="H1106" s="71"/>
      <c r="I1106" s="71"/>
      <c r="J1106" s="71"/>
    </row>
    <row r="1107" spans="4:10">
      <c r="D1107" s="71"/>
      <c r="E1107" s="71"/>
      <c r="F1107" s="71"/>
      <c r="G1107" s="71"/>
      <c r="H1107" s="71"/>
      <c r="I1107" s="71"/>
      <c r="J1107" s="71"/>
    </row>
    <row r="1108" spans="4:10">
      <c r="D1108" s="71"/>
      <c r="E1108" s="71"/>
      <c r="F1108" s="71"/>
      <c r="G1108" s="71"/>
      <c r="H1108" s="71"/>
      <c r="I1108" s="71"/>
      <c r="J1108" s="71"/>
    </row>
    <row r="1109" spans="4:10">
      <c r="D1109" s="71"/>
      <c r="E1109" s="71"/>
      <c r="F1109" s="71"/>
      <c r="G1109" s="71"/>
      <c r="H1109" s="71"/>
      <c r="I1109" s="71"/>
      <c r="J1109" s="71"/>
    </row>
    <row r="1110" spans="4:10">
      <c r="D1110" s="71"/>
      <c r="E1110" s="71"/>
      <c r="F1110" s="71"/>
      <c r="G1110" s="71"/>
      <c r="H1110" s="71"/>
      <c r="I1110" s="71"/>
      <c r="J1110" s="71"/>
    </row>
    <row r="1111" spans="4:10">
      <c r="D1111" s="71"/>
      <c r="E1111" s="71"/>
      <c r="F1111" s="71"/>
      <c r="G1111" s="71"/>
      <c r="H1111" s="71"/>
      <c r="I1111" s="71"/>
      <c r="J1111" s="71"/>
    </row>
    <row r="1112" spans="4:10">
      <c r="D1112" s="71"/>
      <c r="E1112" s="71"/>
      <c r="F1112" s="71"/>
      <c r="G1112" s="71"/>
      <c r="H1112" s="71"/>
      <c r="I1112" s="71"/>
      <c r="J1112" s="71"/>
    </row>
    <row r="1113" spans="4:10">
      <c r="D1113" s="71"/>
      <c r="E1113" s="71"/>
      <c r="F1113" s="71"/>
      <c r="G1113" s="71"/>
      <c r="H1113" s="71"/>
      <c r="I1113" s="71"/>
      <c r="J1113" s="71"/>
    </row>
    <row r="1114" spans="4:10">
      <c r="D1114" s="71"/>
      <c r="E1114" s="71"/>
      <c r="F1114" s="71"/>
      <c r="G1114" s="71"/>
      <c r="H1114" s="71"/>
      <c r="I1114" s="71"/>
      <c r="J1114" s="71"/>
    </row>
    <row r="1115" spans="4:10">
      <c r="D1115" s="71"/>
      <c r="E1115" s="71"/>
      <c r="F1115" s="71"/>
      <c r="G1115" s="71"/>
      <c r="H1115" s="71"/>
      <c r="I1115" s="71"/>
      <c r="J1115" s="71"/>
    </row>
    <row r="1116" spans="4:10">
      <c r="D1116" s="71"/>
      <c r="E1116" s="71"/>
      <c r="F1116" s="71"/>
      <c r="G1116" s="71"/>
      <c r="H1116" s="71"/>
      <c r="I1116" s="71"/>
      <c r="J1116" s="71"/>
    </row>
    <row r="1117" spans="4:10">
      <c r="D1117" s="71"/>
      <c r="E1117" s="71"/>
      <c r="F1117" s="71"/>
      <c r="G1117" s="71"/>
      <c r="H1117" s="71"/>
      <c r="I1117" s="71"/>
      <c r="J1117" s="71"/>
    </row>
    <row r="1118" spans="4:10">
      <c r="D1118" s="71"/>
      <c r="E1118" s="71"/>
      <c r="F1118" s="71"/>
      <c r="G1118" s="71"/>
      <c r="H1118" s="71"/>
      <c r="I1118" s="71"/>
      <c r="J1118" s="71"/>
    </row>
    <row r="1119" spans="4:10">
      <c r="D1119" s="71"/>
      <c r="E1119" s="71"/>
      <c r="F1119" s="71"/>
      <c r="G1119" s="71"/>
      <c r="H1119" s="71"/>
      <c r="I1119" s="71"/>
      <c r="J1119" s="71"/>
    </row>
    <row r="1120" spans="4:10">
      <c r="D1120" s="71"/>
      <c r="E1120" s="71"/>
      <c r="F1120" s="71"/>
      <c r="G1120" s="71"/>
      <c r="H1120" s="71"/>
      <c r="I1120" s="71"/>
      <c r="J1120" s="71"/>
    </row>
    <row r="1121" spans="4:10">
      <c r="D1121" s="71"/>
      <c r="E1121" s="71"/>
      <c r="F1121" s="71"/>
      <c r="G1121" s="71"/>
      <c r="H1121" s="71"/>
      <c r="I1121" s="71"/>
      <c r="J1121" s="71"/>
    </row>
    <row r="1122" spans="4:10">
      <c r="D1122" s="71"/>
      <c r="E1122" s="71"/>
      <c r="F1122" s="71"/>
      <c r="G1122" s="71"/>
      <c r="H1122" s="71"/>
      <c r="I1122" s="71"/>
      <c r="J1122" s="71"/>
    </row>
    <row r="1123" spans="4:10">
      <c r="D1123" s="71"/>
      <c r="E1123" s="71"/>
      <c r="F1123" s="71"/>
      <c r="G1123" s="71"/>
      <c r="H1123" s="71"/>
      <c r="I1123" s="71"/>
      <c r="J1123" s="71"/>
    </row>
    <row r="1124" spans="4:10">
      <c r="D1124" s="71"/>
      <c r="E1124" s="71"/>
      <c r="F1124" s="71"/>
      <c r="G1124" s="71"/>
      <c r="H1124" s="71"/>
      <c r="I1124" s="71"/>
      <c r="J1124" s="71"/>
    </row>
    <row r="1125" spans="4:10">
      <c r="D1125" s="71"/>
      <c r="E1125" s="71"/>
      <c r="F1125" s="71"/>
      <c r="G1125" s="71"/>
      <c r="H1125" s="71"/>
      <c r="I1125" s="71"/>
      <c r="J1125" s="71"/>
    </row>
    <row r="1126" spans="4:10">
      <c r="D1126" s="71"/>
      <c r="E1126" s="71"/>
      <c r="F1126" s="71"/>
      <c r="G1126" s="71"/>
      <c r="H1126" s="71"/>
      <c r="I1126" s="71"/>
      <c r="J1126" s="71"/>
    </row>
    <row r="1127" spans="4:10">
      <c r="D1127" s="71"/>
      <c r="E1127" s="71"/>
      <c r="F1127" s="71"/>
      <c r="G1127" s="71"/>
      <c r="H1127" s="71"/>
      <c r="I1127" s="71"/>
      <c r="J1127" s="71"/>
    </row>
    <row r="1128" spans="4:10">
      <c r="D1128" s="71"/>
      <c r="E1128" s="71"/>
      <c r="F1128" s="71"/>
      <c r="G1128" s="71"/>
      <c r="H1128" s="71"/>
      <c r="I1128" s="71"/>
      <c r="J1128" s="71"/>
    </row>
    <row r="1129" spans="4:10">
      <c r="D1129" s="71"/>
      <c r="E1129" s="71"/>
      <c r="F1129" s="71"/>
      <c r="G1129" s="71"/>
      <c r="H1129" s="71"/>
      <c r="I1129" s="71"/>
      <c r="J1129" s="71"/>
    </row>
    <row r="1130" spans="4:10">
      <c r="D1130" s="71"/>
      <c r="E1130" s="71"/>
      <c r="F1130" s="71"/>
      <c r="G1130" s="71"/>
      <c r="H1130" s="71"/>
      <c r="I1130" s="71"/>
      <c r="J1130" s="71"/>
    </row>
    <row r="1131" spans="4:10">
      <c r="D1131" s="71"/>
      <c r="E1131" s="71"/>
      <c r="F1131" s="71"/>
      <c r="G1131" s="71"/>
      <c r="H1131" s="71"/>
      <c r="I1131" s="71"/>
      <c r="J1131" s="71"/>
    </row>
    <row r="1132" spans="4:10">
      <c r="D1132" s="71"/>
      <c r="E1132" s="71"/>
      <c r="F1132" s="71"/>
      <c r="G1132" s="71"/>
      <c r="H1132" s="71"/>
      <c r="I1132" s="71"/>
      <c r="J1132" s="71"/>
    </row>
    <row r="1133" spans="4:10">
      <c r="D1133" s="71"/>
      <c r="E1133" s="71"/>
      <c r="F1133" s="71"/>
      <c r="G1133" s="71"/>
      <c r="H1133" s="71"/>
      <c r="I1133" s="71"/>
      <c r="J1133" s="71"/>
    </row>
    <row r="1134" spans="4:10">
      <c r="D1134" s="71"/>
      <c r="E1134" s="71"/>
      <c r="F1134" s="71"/>
      <c r="G1134" s="71"/>
      <c r="H1134" s="71"/>
      <c r="I1134" s="71"/>
      <c r="J1134" s="71"/>
    </row>
    <row r="1135" spans="4:10">
      <c r="D1135" s="71"/>
      <c r="E1135" s="71"/>
      <c r="F1135" s="71"/>
      <c r="G1135" s="71"/>
      <c r="H1135" s="71"/>
      <c r="I1135" s="71"/>
      <c r="J1135" s="71"/>
    </row>
    <row r="1136" spans="4:10">
      <c r="D1136" s="71"/>
      <c r="E1136" s="71"/>
      <c r="F1136" s="71"/>
      <c r="G1136" s="71"/>
      <c r="H1136" s="71"/>
      <c r="I1136" s="71"/>
      <c r="J1136" s="71"/>
    </row>
    <row r="1137" spans="4:10">
      <c r="D1137" s="71"/>
      <c r="E1137" s="71"/>
      <c r="F1137" s="71"/>
      <c r="G1137" s="71"/>
      <c r="H1137" s="71"/>
      <c r="I1137" s="71"/>
      <c r="J1137" s="71"/>
    </row>
    <row r="1138" spans="4:10">
      <c r="D1138" s="71"/>
      <c r="E1138" s="71"/>
      <c r="F1138" s="71"/>
      <c r="G1138" s="71"/>
      <c r="H1138" s="71"/>
      <c r="I1138" s="71"/>
      <c r="J1138" s="71"/>
    </row>
    <row r="1139" spans="4:10">
      <c r="D1139" s="71"/>
      <c r="E1139" s="71"/>
      <c r="F1139" s="71"/>
      <c r="G1139" s="71"/>
      <c r="H1139" s="71"/>
      <c r="I1139" s="71"/>
      <c r="J1139" s="71"/>
    </row>
    <row r="1140" spans="4:10">
      <c r="D1140" s="71"/>
      <c r="E1140" s="71"/>
      <c r="F1140" s="71"/>
      <c r="G1140" s="71"/>
      <c r="H1140" s="71"/>
      <c r="I1140" s="71"/>
      <c r="J1140" s="71"/>
    </row>
    <row r="1141" spans="4:10">
      <c r="D1141" s="71"/>
      <c r="E1141" s="71"/>
      <c r="F1141" s="71"/>
      <c r="G1141" s="71"/>
      <c r="H1141" s="71"/>
      <c r="I1141" s="71"/>
      <c r="J1141" s="71"/>
    </row>
    <row r="1142" spans="4:10">
      <c r="D1142" s="71"/>
      <c r="E1142" s="71"/>
      <c r="F1142" s="71"/>
      <c r="G1142" s="71"/>
      <c r="H1142" s="71"/>
      <c r="I1142" s="71"/>
      <c r="J1142" s="71"/>
    </row>
    <row r="1143" spans="4:10">
      <c r="D1143" s="71"/>
      <c r="E1143" s="71"/>
      <c r="F1143" s="71"/>
      <c r="G1143" s="71"/>
      <c r="H1143" s="71"/>
      <c r="I1143" s="71"/>
      <c r="J1143" s="71"/>
    </row>
    <row r="1144" spans="4:10">
      <c r="D1144" s="71"/>
      <c r="E1144" s="71"/>
      <c r="F1144" s="71"/>
      <c r="G1144" s="71"/>
      <c r="H1144" s="71"/>
      <c r="I1144" s="71"/>
      <c r="J1144" s="71"/>
    </row>
    <row r="1145" spans="4:10">
      <c r="D1145" s="71"/>
      <c r="E1145" s="71"/>
      <c r="F1145" s="71"/>
      <c r="G1145" s="71"/>
      <c r="H1145" s="71"/>
      <c r="I1145" s="71"/>
      <c r="J1145" s="71"/>
    </row>
    <row r="1146" spans="4:10">
      <c r="D1146" s="71"/>
      <c r="E1146" s="71"/>
      <c r="F1146" s="71"/>
      <c r="G1146" s="71"/>
      <c r="H1146" s="71"/>
      <c r="I1146" s="71"/>
      <c r="J1146" s="71"/>
    </row>
    <row r="1147" spans="4:10">
      <c r="D1147" s="71"/>
      <c r="E1147" s="71"/>
      <c r="F1147" s="71"/>
      <c r="G1147" s="71"/>
      <c r="H1147" s="71"/>
      <c r="I1147" s="71"/>
      <c r="J1147" s="71"/>
    </row>
    <row r="1148" spans="4:10">
      <c r="D1148" s="71"/>
      <c r="E1148" s="71"/>
      <c r="F1148" s="71"/>
      <c r="G1148" s="71"/>
      <c r="H1148" s="71"/>
      <c r="I1148" s="71"/>
      <c r="J1148" s="71"/>
    </row>
    <row r="1149" spans="4:10">
      <c r="D1149" s="71"/>
      <c r="E1149" s="71"/>
      <c r="F1149" s="71"/>
      <c r="G1149" s="71"/>
      <c r="H1149" s="71"/>
      <c r="I1149" s="71"/>
      <c r="J1149" s="71"/>
    </row>
    <row r="1150" spans="4:10">
      <c r="D1150" s="71"/>
      <c r="E1150" s="71"/>
      <c r="F1150" s="71"/>
      <c r="G1150" s="71"/>
      <c r="H1150" s="71"/>
      <c r="I1150" s="71"/>
      <c r="J1150" s="71"/>
    </row>
    <row r="1151" spans="4:10">
      <c r="D1151" s="71"/>
      <c r="E1151" s="71"/>
      <c r="F1151" s="71"/>
      <c r="G1151" s="71"/>
      <c r="H1151" s="71"/>
      <c r="I1151" s="71"/>
      <c r="J1151" s="71"/>
    </row>
    <row r="1152" spans="4:10">
      <c r="D1152" s="71"/>
      <c r="E1152" s="71"/>
      <c r="F1152" s="71"/>
      <c r="G1152" s="71"/>
      <c r="H1152" s="71"/>
      <c r="I1152" s="71"/>
      <c r="J1152" s="71"/>
    </row>
    <row r="1153" spans="4:10">
      <c r="D1153" s="71"/>
      <c r="E1153" s="71"/>
      <c r="F1153" s="71"/>
      <c r="G1153" s="71"/>
      <c r="H1153" s="71"/>
      <c r="I1153" s="71"/>
      <c r="J1153" s="71"/>
    </row>
    <row r="1154" spans="4:10">
      <c r="D1154" s="71"/>
      <c r="E1154" s="71"/>
      <c r="F1154" s="71"/>
      <c r="G1154" s="71"/>
      <c r="H1154" s="71"/>
      <c r="I1154" s="71"/>
      <c r="J1154" s="71"/>
    </row>
    <row r="1155" spans="4:10">
      <c r="D1155" s="71"/>
      <c r="E1155" s="71"/>
      <c r="F1155" s="71"/>
      <c r="G1155" s="71"/>
      <c r="H1155" s="71"/>
      <c r="I1155" s="71"/>
      <c r="J1155" s="71"/>
    </row>
    <row r="1156" spans="4:10">
      <c r="D1156" s="71"/>
      <c r="E1156" s="71"/>
      <c r="F1156" s="71"/>
      <c r="G1156" s="71"/>
      <c r="H1156" s="71"/>
      <c r="I1156" s="71"/>
      <c r="J1156" s="71"/>
    </row>
    <row r="1157" spans="4:10">
      <c r="D1157" s="71"/>
      <c r="E1157" s="71"/>
      <c r="F1157" s="71"/>
      <c r="G1157" s="71"/>
      <c r="H1157" s="71"/>
      <c r="I1157" s="71"/>
      <c r="J1157" s="71"/>
    </row>
    <row r="1158" spans="4:10">
      <c r="D1158" s="71"/>
      <c r="E1158" s="71"/>
      <c r="F1158" s="71"/>
      <c r="G1158" s="71"/>
      <c r="H1158" s="71"/>
      <c r="I1158" s="71"/>
      <c r="J1158" s="71"/>
    </row>
    <row r="1159" spans="4:10">
      <c r="D1159" s="71"/>
      <c r="E1159" s="71"/>
      <c r="F1159" s="71"/>
      <c r="G1159" s="71"/>
      <c r="H1159" s="71"/>
      <c r="I1159" s="71"/>
      <c r="J1159" s="71"/>
    </row>
    <row r="1160" spans="4:10">
      <c r="D1160" s="71"/>
      <c r="E1160" s="71"/>
      <c r="F1160" s="71"/>
      <c r="G1160" s="71"/>
      <c r="H1160" s="71"/>
      <c r="I1160" s="71"/>
      <c r="J1160" s="71"/>
    </row>
    <row r="1161" spans="4:10">
      <c r="D1161" s="71"/>
      <c r="E1161" s="71"/>
      <c r="F1161" s="71"/>
      <c r="G1161" s="71"/>
      <c r="H1161" s="71"/>
      <c r="I1161" s="71"/>
      <c r="J1161" s="71"/>
    </row>
    <row r="1162" spans="4:10">
      <c r="D1162" s="71"/>
      <c r="E1162" s="71"/>
      <c r="F1162" s="71"/>
      <c r="G1162" s="71"/>
      <c r="H1162" s="71"/>
      <c r="I1162" s="71"/>
      <c r="J1162" s="71"/>
    </row>
    <row r="1163" spans="4:10">
      <c r="D1163" s="71"/>
      <c r="E1163" s="71"/>
      <c r="F1163" s="71"/>
      <c r="G1163" s="71"/>
      <c r="H1163" s="71"/>
      <c r="I1163" s="71"/>
      <c r="J1163" s="71"/>
    </row>
    <row r="1164" spans="4:10">
      <c r="D1164" s="71"/>
      <c r="E1164" s="71"/>
      <c r="F1164" s="71"/>
      <c r="G1164" s="71"/>
      <c r="H1164" s="71"/>
      <c r="I1164" s="71"/>
      <c r="J1164" s="71"/>
    </row>
    <row r="1165" spans="4:10">
      <c r="D1165" s="71"/>
      <c r="E1165" s="71"/>
      <c r="F1165" s="71"/>
      <c r="G1165" s="71"/>
      <c r="H1165" s="71"/>
      <c r="I1165" s="71"/>
      <c r="J1165" s="71"/>
    </row>
    <row r="1166" spans="4:10">
      <c r="D1166" s="71"/>
      <c r="E1166" s="71"/>
      <c r="F1166" s="71"/>
      <c r="G1166" s="71"/>
      <c r="H1166" s="71"/>
      <c r="I1166" s="71"/>
      <c r="J1166" s="71"/>
    </row>
    <row r="1167" spans="4:10">
      <c r="D1167" s="71"/>
      <c r="E1167" s="71"/>
      <c r="F1167" s="71"/>
      <c r="G1167" s="71"/>
      <c r="H1167" s="71"/>
      <c r="I1167" s="71"/>
      <c r="J1167" s="71"/>
    </row>
    <row r="1168" spans="4:10">
      <c r="D1168" s="71"/>
      <c r="E1168" s="71"/>
      <c r="F1168" s="71"/>
      <c r="G1168" s="71"/>
      <c r="H1168" s="71"/>
      <c r="I1168" s="71"/>
      <c r="J1168" s="71"/>
    </row>
    <row r="1169" spans="4:10">
      <c r="D1169" s="71"/>
      <c r="E1169" s="71"/>
      <c r="F1169" s="71"/>
      <c r="G1169" s="71"/>
      <c r="H1169" s="71"/>
      <c r="I1169" s="71"/>
      <c r="J1169" s="71"/>
    </row>
    <row r="1170" spans="4:10">
      <c r="D1170" s="71"/>
      <c r="E1170" s="71"/>
      <c r="F1170" s="71"/>
      <c r="G1170" s="71"/>
      <c r="H1170" s="71"/>
      <c r="I1170" s="71"/>
      <c r="J1170" s="71"/>
    </row>
    <row r="1171" spans="4:10">
      <c r="D1171" s="71"/>
      <c r="E1171" s="71"/>
      <c r="F1171" s="71"/>
      <c r="G1171" s="71"/>
      <c r="H1171" s="71"/>
      <c r="I1171" s="71"/>
      <c r="J1171" s="71"/>
    </row>
    <row r="1172" spans="4:10">
      <c r="D1172" s="71"/>
      <c r="E1172" s="71"/>
      <c r="F1172" s="71"/>
      <c r="G1172" s="71"/>
      <c r="H1172" s="71"/>
      <c r="I1172" s="71"/>
      <c r="J1172" s="71"/>
    </row>
    <row r="1173" spans="4:10">
      <c r="D1173" s="71"/>
      <c r="E1173" s="71"/>
      <c r="F1173" s="71"/>
      <c r="G1173" s="71"/>
      <c r="H1173" s="71"/>
      <c r="I1173" s="71"/>
      <c r="J1173" s="71"/>
    </row>
    <row r="1174" spans="4:10">
      <c r="D1174" s="71"/>
      <c r="E1174" s="71"/>
      <c r="F1174" s="71"/>
      <c r="G1174" s="71"/>
      <c r="H1174" s="71"/>
      <c r="I1174" s="71"/>
      <c r="J1174" s="71"/>
    </row>
    <row r="1175" spans="4:10">
      <c r="D1175" s="71"/>
      <c r="E1175" s="71"/>
      <c r="F1175" s="71"/>
      <c r="G1175" s="71"/>
      <c r="H1175" s="71"/>
      <c r="I1175" s="71"/>
      <c r="J1175" s="71"/>
    </row>
    <row r="1176" spans="4:10">
      <c r="D1176" s="71"/>
      <c r="E1176" s="71"/>
      <c r="F1176" s="71"/>
      <c r="G1176" s="71"/>
      <c r="H1176" s="71"/>
      <c r="I1176" s="71"/>
      <c r="J1176" s="71"/>
    </row>
    <row r="1177" spans="4:10">
      <c r="D1177" s="71"/>
      <c r="E1177" s="71"/>
      <c r="F1177" s="71"/>
      <c r="G1177" s="71"/>
      <c r="H1177" s="71"/>
      <c r="I1177" s="71"/>
      <c r="J1177" s="71"/>
    </row>
    <row r="1178" spans="4:10">
      <c r="D1178" s="71"/>
      <c r="E1178" s="71"/>
      <c r="F1178" s="71"/>
      <c r="G1178" s="71"/>
      <c r="H1178" s="71"/>
      <c r="I1178" s="71"/>
      <c r="J1178" s="71"/>
    </row>
    <row r="1179" spans="4:10">
      <c r="D1179" s="71"/>
      <c r="E1179" s="71"/>
      <c r="F1179" s="71"/>
      <c r="G1179" s="71"/>
      <c r="H1179" s="71"/>
      <c r="I1179" s="71"/>
      <c r="J1179" s="71"/>
    </row>
    <row r="1180" spans="4:10">
      <c r="D1180" s="71"/>
      <c r="E1180" s="71"/>
      <c r="F1180" s="71"/>
      <c r="G1180" s="71"/>
      <c r="H1180" s="71"/>
      <c r="I1180" s="71"/>
      <c r="J1180" s="71"/>
    </row>
    <row r="1181" spans="4:10">
      <c r="D1181" s="71"/>
      <c r="E1181" s="71"/>
      <c r="F1181" s="71"/>
      <c r="G1181" s="71"/>
      <c r="H1181" s="71"/>
      <c r="I1181" s="71"/>
      <c r="J1181" s="71"/>
    </row>
    <row r="1182" spans="4:10">
      <c r="D1182" s="71"/>
      <c r="E1182" s="71"/>
      <c r="F1182" s="71"/>
      <c r="G1182" s="71"/>
      <c r="H1182" s="71"/>
      <c r="I1182" s="71"/>
      <c r="J1182" s="71"/>
    </row>
    <row r="1183" spans="4:10">
      <c r="D1183" s="71"/>
      <c r="E1183" s="71"/>
      <c r="F1183" s="71"/>
      <c r="G1183" s="71"/>
      <c r="H1183" s="71"/>
      <c r="I1183" s="71"/>
      <c r="J1183" s="71"/>
    </row>
    <row r="1184" spans="4:10">
      <c r="D1184" s="71"/>
      <c r="E1184" s="71"/>
      <c r="F1184" s="71"/>
      <c r="G1184" s="71"/>
      <c r="H1184" s="71"/>
      <c r="I1184" s="71"/>
      <c r="J1184" s="71"/>
    </row>
    <row r="1185" spans="4:10">
      <c r="D1185" s="71"/>
      <c r="E1185" s="71"/>
      <c r="F1185" s="71"/>
      <c r="G1185" s="71"/>
      <c r="H1185" s="71"/>
      <c r="I1185" s="71"/>
      <c r="J1185" s="71"/>
    </row>
    <row r="1186" spans="4:10">
      <c r="D1186" s="71"/>
      <c r="E1186" s="71"/>
      <c r="F1186" s="71"/>
      <c r="G1186" s="71"/>
      <c r="H1186" s="71"/>
      <c r="I1186" s="71"/>
      <c r="J1186" s="71"/>
    </row>
    <row r="1187" spans="4:10">
      <c r="D1187" s="71"/>
      <c r="E1187" s="71"/>
      <c r="F1187" s="71"/>
      <c r="G1187" s="71"/>
      <c r="H1187" s="71"/>
      <c r="I1187" s="71"/>
      <c r="J1187" s="71"/>
    </row>
    <row r="1188" spans="4:10">
      <c r="D1188" s="71"/>
      <c r="E1188" s="71"/>
      <c r="F1188" s="71"/>
      <c r="G1188" s="71"/>
      <c r="H1188" s="71"/>
      <c r="I1188" s="71"/>
      <c r="J1188" s="71"/>
    </row>
    <row r="1189" spans="4:10">
      <c r="D1189" s="71"/>
      <c r="E1189" s="71"/>
      <c r="F1189" s="71"/>
      <c r="G1189" s="71"/>
      <c r="H1189" s="71"/>
      <c r="I1189" s="71"/>
      <c r="J1189" s="71"/>
    </row>
    <row r="1190" spans="4:10">
      <c r="D1190" s="71"/>
      <c r="E1190" s="71"/>
      <c r="F1190" s="71"/>
      <c r="G1190" s="71"/>
      <c r="H1190" s="71"/>
      <c r="I1190" s="71"/>
      <c r="J1190" s="71"/>
    </row>
    <row r="1191" spans="4:10">
      <c r="D1191" s="71"/>
      <c r="E1191" s="71"/>
      <c r="F1191" s="71"/>
      <c r="G1191" s="71"/>
      <c r="H1191" s="71"/>
      <c r="I1191" s="71"/>
      <c r="J1191" s="71"/>
    </row>
    <row r="1192" spans="4:10">
      <c r="D1192" s="71"/>
      <c r="E1192" s="71"/>
      <c r="F1192" s="71"/>
      <c r="G1192" s="71"/>
      <c r="H1192" s="71"/>
      <c r="I1192" s="71"/>
      <c r="J1192" s="71"/>
    </row>
    <row r="1193" spans="4:10">
      <c r="D1193" s="71"/>
      <c r="E1193" s="71"/>
      <c r="F1193" s="71"/>
      <c r="G1193" s="71"/>
      <c r="H1193" s="71"/>
      <c r="I1193" s="71"/>
      <c r="J1193" s="71"/>
    </row>
    <row r="1194" spans="4:10">
      <c r="D1194" s="71"/>
      <c r="E1194" s="71"/>
      <c r="F1194" s="71"/>
      <c r="G1194" s="71"/>
      <c r="H1194" s="71"/>
      <c r="I1194" s="71"/>
      <c r="J1194" s="71"/>
    </row>
    <row r="1195" spans="4:10">
      <c r="D1195" s="71"/>
      <c r="E1195" s="71"/>
      <c r="F1195" s="71"/>
      <c r="G1195" s="71"/>
      <c r="H1195" s="71"/>
      <c r="I1195" s="71"/>
      <c r="J1195" s="71"/>
    </row>
    <row r="1196" spans="4:10">
      <c r="D1196" s="71"/>
      <c r="E1196" s="71"/>
      <c r="F1196" s="71"/>
      <c r="G1196" s="71"/>
      <c r="H1196" s="71"/>
      <c r="I1196" s="71"/>
      <c r="J1196" s="71"/>
    </row>
    <row r="1197" spans="4:10">
      <c r="D1197" s="71"/>
      <c r="E1197" s="71"/>
      <c r="F1197" s="71"/>
      <c r="G1197" s="71"/>
      <c r="H1197" s="71"/>
      <c r="I1197" s="71"/>
      <c r="J1197" s="71"/>
    </row>
    <row r="1198" spans="4:10">
      <c r="D1198" s="71"/>
      <c r="E1198" s="71"/>
      <c r="F1198" s="71"/>
      <c r="G1198" s="71"/>
      <c r="H1198" s="71"/>
      <c r="I1198" s="71"/>
      <c r="J1198" s="71"/>
    </row>
    <row r="1199" spans="4:10">
      <c r="D1199" s="71"/>
      <c r="E1199" s="71"/>
      <c r="F1199" s="71"/>
      <c r="G1199" s="71"/>
      <c r="H1199" s="71"/>
      <c r="I1199" s="71"/>
      <c r="J1199" s="71"/>
    </row>
    <row r="1200" spans="4:10">
      <c r="D1200" s="71"/>
      <c r="E1200" s="71"/>
      <c r="F1200" s="71"/>
      <c r="G1200" s="71"/>
      <c r="H1200" s="71"/>
      <c r="I1200" s="71"/>
      <c r="J1200" s="71"/>
    </row>
    <row r="1201" spans="4:10">
      <c r="D1201" s="71"/>
      <c r="E1201" s="71"/>
      <c r="F1201" s="71"/>
      <c r="G1201" s="71"/>
      <c r="H1201" s="71"/>
      <c r="I1201" s="71"/>
      <c r="J1201" s="71"/>
    </row>
    <row r="1202" spans="4:10">
      <c r="D1202" s="71"/>
      <c r="E1202" s="71"/>
      <c r="F1202" s="71"/>
      <c r="G1202" s="71"/>
      <c r="H1202" s="71"/>
      <c r="I1202" s="71"/>
      <c r="J1202" s="71"/>
    </row>
    <row r="1203" spans="4:10">
      <c r="D1203" s="71"/>
      <c r="E1203" s="71"/>
      <c r="F1203" s="71"/>
      <c r="G1203" s="71"/>
      <c r="H1203" s="71"/>
      <c r="I1203" s="71"/>
      <c r="J1203" s="71"/>
    </row>
    <row r="1204" spans="4:10">
      <c r="D1204" s="71"/>
      <c r="E1204" s="71"/>
      <c r="F1204" s="71"/>
      <c r="G1204" s="71"/>
      <c r="H1204" s="71"/>
      <c r="I1204" s="71"/>
      <c r="J1204" s="71"/>
    </row>
    <row r="1205" spans="4:10">
      <c r="D1205" s="71"/>
      <c r="E1205" s="71"/>
      <c r="F1205" s="71"/>
      <c r="G1205" s="71"/>
      <c r="H1205" s="71"/>
      <c r="I1205" s="71"/>
      <c r="J1205" s="71"/>
    </row>
    <row r="1206" spans="4:10">
      <c r="D1206" s="71"/>
      <c r="E1206" s="71"/>
      <c r="F1206" s="71"/>
      <c r="G1206" s="71"/>
      <c r="H1206" s="71"/>
      <c r="I1206" s="71"/>
      <c r="J1206" s="71"/>
    </row>
    <row r="1207" spans="4:10">
      <c r="D1207" s="71"/>
      <c r="E1207" s="71"/>
      <c r="F1207" s="71"/>
      <c r="G1207" s="71"/>
      <c r="H1207" s="71"/>
      <c r="I1207" s="71"/>
      <c r="J1207" s="71"/>
    </row>
    <row r="1208" spans="4:10">
      <c r="D1208" s="71"/>
      <c r="E1208" s="71"/>
      <c r="F1208" s="71"/>
      <c r="G1208" s="71"/>
      <c r="H1208" s="71"/>
      <c r="I1208" s="71"/>
      <c r="J1208" s="71"/>
    </row>
    <row r="1209" spans="4:10">
      <c r="D1209" s="71"/>
      <c r="E1209" s="71"/>
      <c r="F1209" s="71"/>
      <c r="G1209" s="71"/>
      <c r="H1209" s="71"/>
      <c r="I1209" s="71"/>
      <c r="J1209" s="71"/>
    </row>
    <row r="1210" spans="4:10">
      <c r="D1210" s="71"/>
      <c r="E1210" s="71"/>
      <c r="F1210" s="71"/>
      <c r="G1210" s="71"/>
      <c r="H1210" s="71"/>
      <c r="I1210" s="71"/>
      <c r="J1210" s="71"/>
    </row>
    <row r="1211" spans="4:10">
      <c r="D1211" s="71"/>
      <c r="E1211" s="71"/>
      <c r="F1211" s="71"/>
      <c r="G1211" s="71"/>
      <c r="H1211" s="71"/>
      <c r="I1211" s="71"/>
      <c r="J1211" s="71"/>
    </row>
    <row r="1212" spans="4:10">
      <c r="D1212" s="71"/>
      <c r="E1212" s="71"/>
      <c r="F1212" s="71"/>
      <c r="G1212" s="71"/>
      <c r="H1212" s="71"/>
      <c r="I1212" s="71"/>
      <c r="J1212" s="71"/>
    </row>
    <row r="1213" spans="4:10">
      <c r="D1213" s="71"/>
      <c r="E1213" s="71"/>
      <c r="F1213" s="71"/>
      <c r="G1213" s="71"/>
      <c r="H1213" s="71"/>
      <c r="I1213" s="71"/>
      <c r="J1213" s="71"/>
    </row>
    <row r="1214" spans="4:10">
      <c r="D1214" s="71"/>
      <c r="E1214" s="71"/>
      <c r="F1214" s="71"/>
      <c r="G1214" s="71"/>
      <c r="H1214" s="71"/>
      <c r="I1214" s="71"/>
      <c r="J1214" s="71"/>
    </row>
    <row r="1215" spans="4:10">
      <c r="D1215" s="71"/>
      <c r="E1215" s="71"/>
      <c r="F1215" s="71"/>
      <c r="G1215" s="71"/>
      <c r="H1215" s="71"/>
      <c r="I1215" s="71"/>
      <c r="J1215" s="71"/>
    </row>
    <row r="1216" spans="4:10">
      <c r="D1216" s="71"/>
      <c r="E1216" s="71"/>
      <c r="F1216" s="71"/>
      <c r="G1216" s="71"/>
      <c r="H1216" s="71"/>
      <c r="I1216" s="71"/>
      <c r="J1216" s="71"/>
    </row>
    <row r="1217" spans="4:10">
      <c r="D1217" s="71"/>
      <c r="E1217" s="71"/>
      <c r="F1217" s="71"/>
      <c r="G1217" s="71"/>
      <c r="H1217" s="71"/>
      <c r="I1217" s="71"/>
      <c r="J1217" s="71"/>
    </row>
    <row r="1218" spans="4:10">
      <c r="D1218" s="71"/>
      <c r="E1218" s="71"/>
      <c r="F1218" s="71"/>
      <c r="G1218" s="71"/>
      <c r="H1218" s="71"/>
      <c r="I1218" s="71"/>
      <c r="J1218" s="71"/>
    </row>
    <row r="1219" spans="4:10">
      <c r="D1219" s="71"/>
      <c r="E1219" s="71"/>
      <c r="F1219" s="71"/>
      <c r="G1219" s="71"/>
      <c r="H1219" s="71"/>
      <c r="I1219" s="71"/>
      <c r="J1219" s="71"/>
    </row>
    <row r="1220" spans="4:10">
      <c r="D1220" s="71"/>
      <c r="E1220" s="71"/>
      <c r="F1220" s="71"/>
      <c r="G1220" s="71"/>
      <c r="H1220" s="71"/>
      <c r="I1220" s="71"/>
      <c r="J1220" s="71"/>
    </row>
    <row r="1221" spans="4:10">
      <c r="D1221" s="71"/>
      <c r="E1221" s="71"/>
      <c r="F1221" s="71"/>
      <c r="G1221" s="71"/>
      <c r="H1221" s="71"/>
      <c r="I1221" s="71"/>
      <c r="J1221" s="71"/>
    </row>
    <row r="1222" spans="4:10">
      <c r="D1222" s="71"/>
      <c r="E1222" s="71"/>
      <c r="F1222" s="71"/>
      <c r="G1222" s="71"/>
      <c r="H1222" s="71"/>
      <c r="I1222" s="71"/>
      <c r="J1222" s="71"/>
    </row>
    <row r="1223" spans="4:10">
      <c r="D1223" s="71"/>
      <c r="E1223" s="71"/>
      <c r="F1223" s="71"/>
      <c r="G1223" s="71"/>
      <c r="H1223" s="71"/>
      <c r="I1223" s="71"/>
      <c r="J1223" s="71"/>
    </row>
    <row r="1224" spans="4:10">
      <c r="D1224" s="71"/>
      <c r="E1224" s="71"/>
      <c r="F1224" s="71"/>
      <c r="G1224" s="71"/>
      <c r="H1224" s="71"/>
      <c r="I1224" s="71"/>
      <c r="J1224" s="71"/>
    </row>
    <row r="1225" spans="4:10">
      <c r="D1225" s="71"/>
      <c r="E1225" s="71"/>
      <c r="F1225" s="71"/>
      <c r="G1225" s="71"/>
      <c r="H1225" s="71"/>
      <c r="I1225" s="71"/>
      <c r="J1225" s="71"/>
    </row>
    <row r="1226" spans="4:10">
      <c r="D1226" s="71"/>
      <c r="E1226" s="71"/>
      <c r="F1226" s="71"/>
      <c r="G1226" s="71"/>
      <c r="H1226" s="71"/>
      <c r="I1226" s="71"/>
      <c r="J1226" s="71"/>
    </row>
    <row r="1227" spans="4:10">
      <c r="D1227" s="71"/>
      <c r="E1227" s="71"/>
      <c r="F1227" s="71"/>
      <c r="G1227" s="71"/>
      <c r="H1227" s="71"/>
      <c r="I1227" s="71"/>
      <c r="J1227" s="71"/>
    </row>
    <row r="1228" spans="4:10">
      <c r="D1228" s="71"/>
      <c r="E1228" s="71"/>
      <c r="F1228" s="71"/>
      <c r="G1228" s="71"/>
      <c r="H1228" s="71"/>
      <c r="I1228" s="71"/>
      <c r="J1228" s="71"/>
    </row>
    <row r="1229" spans="4:10">
      <c r="D1229" s="71"/>
      <c r="E1229" s="71"/>
      <c r="F1229" s="71"/>
      <c r="G1229" s="71"/>
      <c r="H1229" s="71"/>
      <c r="I1229" s="71"/>
      <c r="J1229" s="71"/>
    </row>
    <row r="1230" spans="4:10">
      <c r="D1230" s="71"/>
      <c r="E1230" s="71"/>
      <c r="F1230" s="71"/>
      <c r="G1230" s="71"/>
      <c r="H1230" s="71"/>
      <c r="I1230" s="71"/>
      <c r="J1230" s="71"/>
    </row>
    <row r="1231" spans="4:10">
      <c r="D1231" s="71"/>
      <c r="E1231" s="71"/>
      <c r="F1231" s="71"/>
      <c r="G1231" s="71"/>
      <c r="H1231" s="71"/>
      <c r="I1231" s="71"/>
      <c r="J1231" s="71"/>
    </row>
    <row r="1232" spans="4:10">
      <c r="D1232" s="71"/>
      <c r="E1232" s="71"/>
      <c r="F1232" s="71"/>
      <c r="G1232" s="71"/>
      <c r="H1232" s="71"/>
      <c r="I1232" s="71"/>
      <c r="J1232" s="71"/>
    </row>
    <row r="1233" spans="4:10">
      <c r="D1233" s="71"/>
      <c r="E1233" s="71"/>
      <c r="F1233" s="71"/>
      <c r="G1233" s="71"/>
      <c r="H1233" s="71"/>
      <c r="I1233" s="71"/>
      <c r="J1233" s="71"/>
    </row>
    <row r="1234" spans="4:10">
      <c r="D1234" s="71"/>
      <c r="E1234" s="71"/>
      <c r="F1234" s="71"/>
      <c r="G1234" s="71"/>
      <c r="H1234" s="71"/>
      <c r="I1234" s="71"/>
      <c r="J1234" s="71"/>
    </row>
    <row r="1235" spans="4:10">
      <c r="D1235" s="71"/>
      <c r="E1235" s="71"/>
      <c r="F1235" s="71"/>
      <c r="G1235" s="71"/>
      <c r="H1235" s="71"/>
      <c r="I1235" s="71"/>
      <c r="J1235" s="71"/>
    </row>
    <row r="1236" spans="4:10">
      <c r="D1236" s="71"/>
      <c r="E1236" s="71"/>
      <c r="F1236" s="71"/>
      <c r="G1236" s="71"/>
      <c r="H1236" s="71"/>
      <c r="I1236" s="71"/>
      <c r="J1236" s="71"/>
    </row>
    <row r="1237" spans="4:10">
      <c r="D1237" s="71"/>
      <c r="E1237" s="71"/>
      <c r="F1237" s="71"/>
      <c r="G1237" s="71"/>
      <c r="H1237" s="71"/>
      <c r="I1237" s="71"/>
      <c r="J1237" s="71"/>
    </row>
    <row r="1238" spans="4:10">
      <c r="D1238" s="71"/>
      <c r="E1238" s="71"/>
      <c r="F1238" s="71"/>
      <c r="G1238" s="71"/>
      <c r="H1238" s="71"/>
      <c r="I1238" s="71"/>
      <c r="J1238" s="71"/>
    </row>
    <row r="1239" spans="4:10">
      <c r="D1239" s="71"/>
      <c r="E1239" s="71"/>
      <c r="F1239" s="71"/>
      <c r="G1239" s="71"/>
      <c r="H1239" s="71"/>
      <c r="I1239" s="71"/>
      <c r="J1239" s="71"/>
    </row>
    <row r="1240" spans="4:10">
      <c r="D1240" s="71"/>
      <c r="E1240" s="71"/>
      <c r="F1240" s="71"/>
      <c r="G1240" s="71"/>
      <c r="H1240" s="71"/>
      <c r="I1240" s="71"/>
      <c r="J1240" s="71"/>
    </row>
    <row r="1241" spans="4:10">
      <c r="D1241" s="71"/>
      <c r="E1241" s="71"/>
      <c r="F1241" s="71"/>
      <c r="G1241" s="71"/>
      <c r="H1241" s="71"/>
      <c r="I1241" s="71"/>
      <c r="J1241" s="71"/>
    </row>
    <row r="1242" spans="4:10">
      <c r="D1242" s="71"/>
      <c r="E1242" s="71"/>
      <c r="F1242" s="71"/>
      <c r="G1242" s="71"/>
      <c r="H1242" s="71"/>
      <c r="I1242" s="71"/>
      <c r="J1242" s="71"/>
    </row>
    <row r="1243" spans="4:10">
      <c r="D1243" s="71"/>
      <c r="E1243" s="71"/>
      <c r="F1243" s="71"/>
      <c r="G1243" s="71"/>
      <c r="H1243" s="71"/>
      <c r="I1243" s="71"/>
      <c r="J1243" s="71"/>
    </row>
    <row r="1244" spans="4:10">
      <c r="D1244" s="71"/>
      <c r="E1244" s="71"/>
      <c r="F1244" s="71"/>
      <c r="G1244" s="71"/>
      <c r="H1244" s="71"/>
      <c r="I1244" s="71"/>
      <c r="J1244" s="71"/>
    </row>
    <row r="1245" spans="4:10">
      <c r="D1245" s="71"/>
      <c r="E1245" s="71"/>
      <c r="F1245" s="71"/>
      <c r="G1245" s="71"/>
      <c r="H1245" s="71"/>
      <c r="I1245" s="71"/>
      <c r="J1245" s="71"/>
    </row>
    <row r="1246" spans="4:10">
      <c r="D1246" s="71"/>
      <c r="E1246" s="71"/>
      <c r="F1246" s="71"/>
      <c r="G1246" s="71"/>
      <c r="H1246" s="71"/>
      <c r="I1246" s="71"/>
      <c r="J1246" s="71"/>
    </row>
    <row r="1247" spans="4:10">
      <c r="D1247" s="71"/>
      <c r="E1247" s="71"/>
      <c r="F1247" s="71"/>
      <c r="G1247" s="71"/>
      <c r="H1247" s="71"/>
      <c r="I1247" s="71"/>
      <c r="J1247" s="71"/>
    </row>
    <row r="1248" spans="4:10">
      <c r="D1248" s="71"/>
      <c r="E1248" s="71"/>
      <c r="F1248" s="71"/>
      <c r="G1248" s="71"/>
      <c r="H1248" s="71"/>
      <c r="I1248" s="71"/>
      <c r="J1248" s="71"/>
    </row>
    <row r="1249" spans="4:10">
      <c r="D1249" s="71"/>
      <c r="E1249" s="71"/>
      <c r="F1249" s="71"/>
      <c r="G1249" s="71"/>
      <c r="H1249" s="71"/>
      <c r="I1249" s="71"/>
      <c r="J1249" s="71"/>
    </row>
    <row r="1250" spans="4:10">
      <c r="D1250" s="71"/>
      <c r="E1250" s="71"/>
      <c r="F1250" s="71"/>
      <c r="G1250" s="71"/>
      <c r="H1250" s="71"/>
      <c r="I1250" s="71"/>
      <c r="J1250" s="71"/>
    </row>
    <row r="1251" spans="4:10">
      <c r="D1251" s="71"/>
      <c r="E1251" s="71"/>
      <c r="F1251" s="71"/>
      <c r="G1251" s="71"/>
      <c r="H1251" s="71"/>
      <c r="I1251" s="71"/>
      <c r="J1251" s="71"/>
    </row>
    <row r="1252" spans="4:10">
      <c r="D1252" s="71"/>
      <c r="E1252" s="71"/>
      <c r="F1252" s="71"/>
      <c r="G1252" s="71"/>
      <c r="H1252" s="71"/>
      <c r="I1252" s="71"/>
      <c r="J1252" s="71"/>
    </row>
    <row r="1253" spans="4:10">
      <c r="D1253" s="71"/>
      <c r="E1253" s="71"/>
      <c r="F1253" s="71"/>
      <c r="G1253" s="71"/>
      <c r="H1253" s="71"/>
      <c r="I1253" s="71"/>
      <c r="J1253" s="71"/>
    </row>
    <row r="1254" spans="4:10">
      <c r="D1254" s="71"/>
      <c r="E1254" s="71"/>
      <c r="F1254" s="71"/>
      <c r="G1254" s="71"/>
      <c r="H1254" s="71"/>
      <c r="I1254" s="71"/>
      <c r="J1254" s="71"/>
    </row>
    <row r="1255" spans="4:10">
      <c r="D1255" s="71"/>
      <c r="E1255" s="71"/>
      <c r="F1255" s="71"/>
      <c r="G1255" s="71"/>
      <c r="H1255" s="71"/>
      <c r="I1255" s="71"/>
      <c r="J1255" s="71"/>
    </row>
    <row r="1256" spans="4:10">
      <c r="D1256" s="71"/>
      <c r="E1256" s="71"/>
      <c r="F1256" s="71"/>
      <c r="G1256" s="71"/>
      <c r="H1256" s="71"/>
      <c r="I1256" s="71"/>
      <c r="J1256" s="71"/>
    </row>
    <row r="1257" spans="4:10">
      <c r="D1257" s="71"/>
      <c r="E1257" s="71"/>
      <c r="F1257" s="71"/>
      <c r="G1257" s="71"/>
      <c r="H1257" s="71"/>
      <c r="I1257" s="71"/>
      <c r="J1257" s="71"/>
    </row>
    <row r="1258" spans="4:10">
      <c r="D1258" s="71"/>
      <c r="E1258" s="71"/>
      <c r="F1258" s="71"/>
      <c r="G1258" s="71"/>
      <c r="H1258" s="71"/>
      <c r="I1258" s="71"/>
      <c r="J1258" s="71"/>
    </row>
    <row r="1259" spans="4:10">
      <c r="D1259" s="71"/>
      <c r="E1259" s="71"/>
      <c r="F1259" s="71"/>
      <c r="G1259" s="71"/>
      <c r="H1259" s="71"/>
      <c r="I1259" s="71"/>
      <c r="J1259" s="71"/>
    </row>
    <row r="1260" spans="4:10">
      <c r="D1260" s="71"/>
      <c r="E1260" s="71"/>
      <c r="F1260" s="71"/>
      <c r="G1260" s="71"/>
      <c r="H1260" s="71"/>
      <c r="I1260" s="71"/>
      <c r="J1260" s="71"/>
    </row>
    <row r="1261" spans="4:10">
      <c r="D1261" s="71"/>
      <c r="E1261" s="71"/>
      <c r="F1261" s="71"/>
      <c r="G1261" s="71"/>
      <c r="H1261" s="71"/>
      <c r="I1261" s="71"/>
      <c r="J1261" s="71"/>
    </row>
    <row r="1262" spans="4:10">
      <c r="D1262" s="71"/>
      <c r="E1262" s="71"/>
      <c r="F1262" s="71"/>
      <c r="G1262" s="71"/>
      <c r="H1262" s="71"/>
      <c r="I1262" s="71"/>
      <c r="J1262" s="71"/>
    </row>
    <row r="1263" spans="4:10">
      <c r="D1263" s="71"/>
      <c r="E1263" s="71"/>
      <c r="F1263" s="71"/>
      <c r="G1263" s="71"/>
      <c r="H1263" s="71"/>
      <c r="I1263" s="71"/>
      <c r="J1263" s="71"/>
    </row>
    <row r="1264" spans="4:10">
      <c r="D1264" s="71"/>
      <c r="E1264" s="71"/>
      <c r="F1264" s="71"/>
      <c r="G1264" s="71"/>
      <c r="H1264" s="71"/>
      <c r="I1264" s="71"/>
      <c r="J1264" s="71"/>
    </row>
    <row r="1265" spans="4:10">
      <c r="D1265" s="71"/>
      <c r="E1265" s="71"/>
      <c r="F1265" s="71"/>
      <c r="G1265" s="71"/>
      <c r="H1265" s="71"/>
      <c r="I1265" s="71"/>
      <c r="J1265" s="71"/>
    </row>
    <row r="1266" spans="4:10">
      <c r="D1266" s="71"/>
      <c r="E1266" s="71"/>
      <c r="F1266" s="71"/>
      <c r="G1266" s="71"/>
      <c r="H1266" s="71"/>
      <c r="I1266" s="71"/>
      <c r="J1266" s="71"/>
    </row>
    <row r="1267" spans="4:10">
      <c r="D1267" s="71"/>
      <c r="E1267" s="71"/>
      <c r="F1267" s="71"/>
      <c r="G1267" s="71"/>
      <c r="H1267" s="71"/>
      <c r="I1267" s="71"/>
      <c r="J1267" s="71"/>
    </row>
    <row r="1268" spans="4:10">
      <c r="D1268" s="71"/>
      <c r="E1268" s="71"/>
      <c r="F1268" s="71"/>
      <c r="G1268" s="71"/>
      <c r="H1268" s="71"/>
      <c r="I1268" s="71"/>
      <c r="J1268" s="71"/>
    </row>
    <row r="1269" spans="4:10">
      <c r="D1269" s="71"/>
      <c r="E1269" s="71"/>
      <c r="F1269" s="71"/>
      <c r="G1269" s="71"/>
      <c r="H1269" s="71"/>
      <c r="I1269" s="71"/>
      <c r="J1269" s="71"/>
    </row>
    <row r="1270" spans="4:10">
      <c r="D1270" s="71"/>
      <c r="E1270" s="71"/>
      <c r="F1270" s="71"/>
      <c r="G1270" s="71"/>
      <c r="H1270" s="71"/>
      <c r="I1270" s="71"/>
      <c r="J1270" s="71"/>
    </row>
    <row r="1271" spans="4:10">
      <c r="D1271" s="71"/>
      <c r="E1271" s="71"/>
      <c r="F1271" s="71"/>
      <c r="G1271" s="71"/>
      <c r="H1271" s="71"/>
      <c r="I1271" s="71"/>
      <c r="J1271" s="71"/>
    </row>
    <row r="1272" spans="4:10">
      <c r="D1272" s="71"/>
      <c r="E1272" s="71"/>
      <c r="F1272" s="71"/>
      <c r="G1272" s="71"/>
      <c r="H1272" s="71"/>
      <c r="I1272" s="71"/>
      <c r="J1272" s="71"/>
    </row>
    <row r="1273" spans="4:10">
      <c r="D1273" s="71"/>
      <c r="E1273" s="71"/>
      <c r="F1273" s="71"/>
      <c r="G1273" s="71"/>
      <c r="H1273" s="71"/>
      <c r="I1273" s="71"/>
      <c r="J1273" s="71"/>
    </row>
    <row r="1274" spans="4:10">
      <c r="D1274" s="71"/>
      <c r="E1274" s="71"/>
      <c r="F1274" s="71"/>
      <c r="G1274" s="71"/>
      <c r="H1274" s="71"/>
      <c r="I1274" s="71"/>
      <c r="J1274" s="71"/>
    </row>
    <row r="1275" spans="4:10">
      <c r="D1275" s="71"/>
      <c r="E1275" s="71"/>
      <c r="F1275" s="71"/>
      <c r="G1275" s="71"/>
      <c r="H1275" s="71"/>
      <c r="I1275" s="71"/>
      <c r="J1275" s="71"/>
    </row>
    <row r="1276" spans="4:10">
      <c r="D1276" s="71"/>
      <c r="E1276" s="71"/>
      <c r="F1276" s="71"/>
      <c r="G1276" s="71"/>
      <c r="H1276" s="71"/>
      <c r="I1276" s="71"/>
      <c r="J1276" s="71"/>
    </row>
    <row r="1277" spans="4:10">
      <c r="D1277" s="71"/>
      <c r="E1277" s="71"/>
      <c r="F1277" s="71"/>
      <c r="G1277" s="71"/>
      <c r="H1277" s="71"/>
      <c r="I1277" s="71"/>
      <c r="J1277" s="71"/>
    </row>
    <row r="1278" spans="4:10">
      <c r="D1278" s="71"/>
      <c r="E1278" s="71"/>
      <c r="F1278" s="71"/>
      <c r="G1278" s="71"/>
      <c r="H1278" s="71"/>
      <c r="I1278" s="71"/>
      <c r="J1278" s="71"/>
    </row>
    <row r="1279" spans="4:10">
      <c r="D1279" s="71"/>
      <c r="E1279" s="71"/>
      <c r="F1279" s="71"/>
      <c r="G1279" s="71"/>
      <c r="H1279" s="71"/>
      <c r="I1279" s="71"/>
      <c r="J1279" s="71"/>
    </row>
    <row r="1280" spans="4:10">
      <c r="D1280" s="71"/>
      <c r="E1280" s="71"/>
      <c r="F1280" s="71"/>
      <c r="G1280" s="71"/>
      <c r="H1280" s="71"/>
      <c r="I1280" s="71"/>
      <c r="J1280" s="71"/>
    </row>
    <row r="1281" spans="4:10">
      <c r="D1281" s="71"/>
      <c r="E1281" s="71"/>
      <c r="F1281" s="71"/>
      <c r="G1281" s="71"/>
      <c r="H1281" s="71"/>
      <c r="I1281" s="71"/>
      <c r="J1281" s="71"/>
    </row>
    <row r="1282" spans="4:10">
      <c r="D1282" s="71"/>
      <c r="E1282" s="71"/>
      <c r="F1282" s="71"/>
      <c r="G1282" s="71"/>
      <c r="H1282" s="71"/>
      <c r="I1282" s="71"/>
      <c r="J1282" s="71"/>
    </row>
    <row r="1283" spans="4:10">
      <c r="D1283" s="71"/>
      <c r="E1283" s="71"/>
      <c r="F1283" s="71"/>
      <c r="G1283" s="71"/>
      <c r="H1283" s="71"/>
      <c r="I1283" s="71"/>
      <c r="J1283" s="71"/>
    </row>
    <row r="1284" spans="4:10">
      <c r="D1284" s="71"/>
      <c r="E1284" s="71"/>
      <c r="F1284" s="71"/>
      <c r="G1284" s="71"/>
      <c r="H1284" s="71"/>
      <c r="I1284" s="71"/>
      <c r="J1284" s="71"/>
    </row>
    <row r="1285" spans="4:10">
      <c r="D1285" s="71"/>
      <c r="E1285" s="71"/>
      <c r="F1285" s="71"/>
      <c r="G1285" s="71"/>
      <c r="H1285" s="71"/>
      <c r="I1285" s="71"/>
      <c r="J1285" s="71"/>
    </row>
    <row r="1286" spans="4:10">
      <c r="D1286" s="71"/>
      <c r="E1286" s="71"/>
      <c r="F1286" s="71"/>
      <c r="G1286" s="71"/>
      <c r="H1286" s="71"/>
      <c r="I1286" s="71"/>
      <c r="J1286" s="71"/>
    </row>
    <row r="1287" spans="4:10">
      <c r="D1287" s="71"/>
      <c r="E1287" s="71"/>
      <c r="F1287" s="71"/>
      <c r="G1287" s="71"/>
      <c r="H1287" s="71"/>
      <c r="I1287" s="71"/>
      <c r="J1287" s="71"/>
    </row>
    <row r="1288" spans="4:10">
      <c r="D1288" s="71"/>
      <c r="E1288" s="71"/>
      <c r="F1288" s="71"/>
      <c r="G1288" s="71"/>
      <c r="H1288" s="71"/>
      <c r="I1288" s="71"/>
      <c r="J1288" s="71"/>
    </row>
    <row r="1289" spans="4:10">
      <c r="D1289" s="71"/>
      <c r="E1289" s="71"/>
      <c r="F1289" s="71"/>
      <c r="G1289" s="71"/>
      <c r="H1289" s="71"/>
      <c r="I1289" s="71"/>
      <c r="J1289" s="71"/>
    </row>
    <row r="1290" spans="4:10">
      <c r="D1290" s="71"/>
      <c r="E1290" s="71"/>
      <c r="F1290" s="71"/>
      <c r="G1290" s="71"/>
      <c r="H1290" s="71"/>
      <c r="I1290" s="71"/>
      <c r="J1290" s="71"/>
    </row>
    <row r="1291" spans="4:10">
      <c r="D1291" s="71"/>
      <c r="E1291" s="71"/>
      <c r="F1291" s="71"/>
      <c r="G1291" s="71"/>
      <c r="H1291" s="71"/>
      <c r="I1291" s="71"/>
      <c r="J1291" s="71"/>
    </row>
    <row r="1292" spans="4:10">
      <c r="D1292" s="71"/>
      <c r="E1292" s="71"/>
      <c r="F1292" s="71"/>
      <c r="G1292" s="71"/>
      <c r="H1292" s="71"/>
      <c r="I1292" s="71"/>
      <c r="J1292" s="71"/>
    </row>
    <row r="1293" spans="4:10">
      <c r="D1293" s="71"/>
      <c r="E1293" s="71"/>
      <c r="F1293" s="71"/>
      <c r="G1293" s="71"/>
      <c r="H1293" s="71"/>
      <c r="I1293" s="71"/>
      <c r="J1293" s="71"/>
    </row>
    <row r="1294" spans="4:10">
      <c r="D1294" s="71"/>
      <c r="E1294" s="71"/>
      <c r="F1294" s="71"/>
      <c r="G1294" s="71"/>
      <c r="H1294" s="71"/>
      <c r="I1294" s="71"/>
      <c r="J1294" s="71"/>
    </row>
    <row r="1295" spans="4:10">
      <c r="D1295" s="71"/>
      <c r="E1295" s="71"/>
      <c r="F1295" s="71"/>
      <c r="G1295" s="71"/>
      <c r="H1295" s="71"/>
      <c r="I1295" s="71"/>
      <c r="J1295" s="71"/>
    </row>
    <row r="1296" spans="4:10">
      <c r="D1296" s="71"/>
      <c r="E1296" s="71"/>
      <c r="F1296" s="71"/>
      <c r="G1296" s="71"/>
      <c r="H1296" s="71"/>
      <c r="I1296" s="71"/>
      <c r="J1296" s="71"/>
    </row>
    <row r="1297" spans="4:10">
      <c r="D1297" s="71"/>
      <c r="E1297" s="71"/>
      <c r="F1297" s="71"/>
      <c r="G1297" s="71"/>
      <c r="H1297" s="71"/>
      <c r="I1297" s="71"/>
      <c r="J1297" s="71"/>
    </row>
    <row r="1298" spans="4:10">
      <c r="D1298" s="71"/>
      <c r="E1298" s="71"/>
      <c r="F1298" s="71"/>
      <c r="G1298" s="71"/>
      <c r="H1298" s="71"/>
      <c r="I1298" s="71"/>
      <c r="J1298" s="71"/>
    </row>
    <row r="1299" spans="4:10">
      <c r="D1299" s="71"/>
      <c r="E1299" s="71"/>
      <c r="F1299" s="71"/>
      <c r="G1299" s="71"/>
      <c r="H1299" s="71"/>
      <c r="I1299" s="71"/>
      <c r="J1299" s="71"/>
    </row>
    <row r="1300" spans="4:10">
      <c r="D1300" s="71"/>
      <c r="E1300" s="71"/>
      <c r="F1300" s="71"/>
      <c r="G1300" s="71"/>
      <c r="H1300" s="71"/>
      <c r="I1300" s="71"/>
      <c r="J1300" s="71"/>
    </row>
    <row r="1301" spans="4:10">
      <c r="D1301" s="71"/>
      <c r="E1301" s="71"/>
      <c r="F1301" s="71"/>
      <c r="G1301" s="71"/>
      <c r="H1301" s="71"/>
      <c r="I1301" s="71"/>
      <c r="J1301" s="71"/>
    </row>
    <row r="1302" spans="4:10">
      <c r="D1302" s="71"/>
      <c r="E1302" s="71"/>
      <c r="F1302" s="71"/>
      <c r="G1302" s="71"/>
      <c r="H1302" s="71"/>
      <c r="I1302" s="71"/>
      <c r="J1302" s="71"/>
    </row>
    <row r="1303" spans="4:10">
      <c r="D1303" s="71"/>
      <c r="E1303" s="71"/>
      <c r="F1303" s="71"/>
      <c r="G1303" s="71"/>
      <c r="H1303" s="71"/>
      <c r="I1303" s="71"/>
      <c r="J1303" s="71"/>
    </row>
    <row r="1304" spans="4:10">
      <c r="D1304" s="71"/>
      <c r="E1304" s="71"/>
      <c r="F1304" s="71"/>
      <c r="G1304" s="71"/>
      <c r="H1304" s="71"/>
      <c r="I1304" s="71"/>
      <c r="J1304" s="71"/>
    </row>
    <row r="1305" spans="4:10">
      <c r="D1305" s="71"/>
      <c r="E1305" s="71"/>
      <c r="F1305" s="71"/>
      <c r="G1305" s="71"/>
      <c r="H1305" s="71"/>
      <c r="I1305" s="71"/>
      <c r="J1305" s="71"/>
    </row>
    <row r="1306" spans="4:10">
      <c r="D1306" s="71"/>
      <c r="E1306" s="71"/>
      <c r="F1306" s="71"/>
      <c r="G1306" s="71"/>
      <c r="H1306" s="71"/>
      <c r="I1306" s="71"/>
      <c r="J1306" s="71"/>
    </row>
    <row r="1307" spans="4:10">
      <c r="D1307" s="71"/>
      <c r="E1307" s="71"/>
      <c r="F1307" s="71"/>
      <c r="G1307" s="71"/>
      <c r="H1307" s="71"/>
      <c r="I1307" s="71"/>
      <c r="J1307" s="71"/>
    </row>
    <row r="1308" spans="4:10">
      <c r="D1308" s="71"/>
      <c r="E1308" s="71"/>
      <c r="F1308" s="71"/>
      <c r="G1308" s="71"/>
      <c r="H1308" s="71"/>
      <c r="I1308" s="71"/>
      <c r="J1308" s="71"/>
    </row>
    <row r="1309" spans="4:10">
      <c r="D1309" s="71"/>
      <c r="E1309" s="71"/>
      <c r="F1309" s="71"/>
      <c r="G1309" s="71"/>
      <c r="H1309" s="71"/>
      <c r="I1309" s="71"/>
      <c r="J1309" s="71"/>
    </row>
    <row r="1310" spans="4:10">
      <c r="D1310" s="71"/>
      <c r="E1310" s="71"/>
      <c r="F1310" s="71"/>
      <c r="G1310" s="71"/>
      <c r="H1310" s="71"/>
      <c r="I1310" s="71"/>
      <c r="J1310" s="71"/>
    </row>
    <row r="1311" spans="4:10">
      <c r="D1311" s="71"/>
      <c r="E1311" s="71"/>
      <c r="F1311" s="71"/>
      <c r="G1311" s="71"/>
      <c r="H1311" s="71"/>
      <c r="I1311" s="71"/>
      <c r="J1311" s="71"/>
    </row>
    <row r="1312" spans="4:10">
      <c r="D1312" s="71"/>
      <c r="E1312" s="71"/>
      <c r="F1312" s="71"/>
      <c r="G1312" s="71"/>
      <c r="H1312" s="71"/>
      <c r="I1312" s="71"/>
      <c r="J1312" s="71"/>
    </row>
    <row r="1313" spans="4:10">
      <c r="D1313" s="71"/>
      <c r="E1313" s="71"/>
      <c r="F1313" s="71"/>
      <c r="G1313" s="71"/>
      <c r="H1313" s="71"/>
      <c r="I1313" s="71"/>
      <c r="J1313" s="71"/>
    </row>
    <row r="1314" spans="4:10">
      <c r="D1314" s="71"/>
      <c r="E1314" s="71"/>
      <c r="F1314" s="71"/>
      <c r="G1314" s="71"/>
      <c r="H1314" s="71"/>
      <c r="I1314" s="71"/>
      <c r="J1314" s="71"/>
    </row>
    <row r="1315" spans="4:10">
      <c r="D1315" s="71"/>
      <c r="E1315" s="71"/>
      <c r="F1315" s="71"/>
      <c r="G1315" s="71"/>
      <c r="H1315" s="71"/>
      <c r="I1315" s="71"/>
      <c r="J1315" s="71"/>
    </row>
    <row r="1316" spans="4:10">
      <c r="D1316" s="71"/>
      <c r="E1316" s="71"/>
      <c r="F1316" s="71"/>
      <c r="G1316" s="71"/>
      <c r="H1316" s="71"/>
      <c r="I1316" s="71"/>
      <c r="J1316" s="71"/>
    </row>
    <row r="1317" spans="4:10">
      <c r="D1317" s="71"/>
      <c r="E1317" s="71"/>
      <c r="F1317" s="71"/>
      <c r="G1317" s="71"/>
      <c r="H1317" s="71"/>
      <c r="I1317" s="71"/>
      <c r="J1317" s="71"/>
    </row>
    <row r="1318" spans="4:10">
      <c r="D1318" s="71"/>
      <c r="E1318" s="71"/>
      <c r="F1318" s="71"/>
      <c r="G1318" s="71"/>
      <c r="H1318" s="71"/>
      <c r="I1318" s="71"/>
      <c r="J1318" s="71"/>
    </row>
    <row r="1319" spans="4:10">
      <c r="D1319" s="71"/>
      <c r="E1319" s="71"/>
      <c r="F1319" s="71"/>
      <c r="G1319" s="71"/>
      <c r="H1319" s="71"/>
      <c r="I1319" s="71"/>
      <c r="J1319" s="71"/>
    </row>
    <row r="1320" spans="4:10">
      <c r="D1320" s="71"/>
      <c r="E1320" s="71"/>
      <c r="F1320" s="71"/>
      <c r="G1320" s="71"/>
      <c r="H1320" s="71"/>
      <c r="I1320" s="71"/>
      <c r="J1320" s="71"/>
    </row>
    <row r="1321" spans="4:10">
      <c r="D1321" s="71"/>
      <c r="E1321" s="71"/>
      <c r="F1321" s="71"/>
      <c r="G1321" s="71"/>
      <c r="H1321" s="71"/>
      <c r="I1321" s="71"/>
      <c r="J1321" s="71"/>
    </row>
    <row r="1322" spans="4:10">
      <c r="D1322" s="71"/>
      <c r="E1322" s="71"/>
      <c r="F1322" s="71"/>
      <c r="G1322" s="71"/>
      <c r="H1322" s="71"/>
      <c r="I1322" s="71"/>
      <c r="J1322" s="71"/>
    </row>
    <row r="1323" spans="4:10">
      <c r="D1323" s="71"/>
      <c r="E1323" s="71"/>
      <c r="F1323" s="71"/>
      <c r="G1323" s="71"/>
      <c r="H1323" s="71"/>
      <c r="I1323" s="71"/>
      <c r="J1323" s="71"/>
    </row>
    <row r="1324" spans="4:10">
      <c r="D1324" s="71"/>
      <c r="E1324" s="71"/>
      <c r="F1324" s="71"/>
      <c r="G1324" s="71"/>
      <c r="H1324" s="71"/>
      <c r="I1324" s="71"/>
      <c r="J1324" s="71"/>
    </row>
    <row r="1325" spans="4:10">
      <c r="D1325" s="71"/>
      <c r="E1325" s="71"/>
      <c r="F1325" s="71"/>
      <c r="G1325" s="71"/>
      <c r="H1325" s="71"/>
      <c r="I1325" s="71"/>
      <c r="J1325" s="71"/>
    </row>
    <row r="1326" spans="4:10">
      <c r="D1326" s="71"/>
      <c r="E1326" s="71"/>
      <c r="F1326" s="71"/>
      <c r="G1326" s="71"/>
      <c r="H1326" s="71"/>
      <c r="I1326" s="71"/>
      <c r="J1326" s="71"/>
    </row>
    <row r="1327" spans="4:10">
      <c r="D1327" s="71"/>
      <c r="E1327" s="71"/>
      <c r="F1327" s="71"/>
      <c r="G1327" s="71"/>
      <c r="H1327" s="71"/>
      <c r="I1327" s="71"/>
      <c r="J1327" s="71"/>
    </row>
    <row r="1328" spans="4:10">
      <c r="D1328" s="71"/>
      <c r="E1328" s="71"/>
      <c r="F1328" s="71"/>
      <c r="G1328" s="71"/>
      <c r="H1328" s="71"/>
      <c r="I1328" s="71"/>
      <c r="J1328" s="71"/>
    </row>
    <row r="1329" spans="4:10">
      <c r="D1329" s="71"/>
      <c r="E1329" s="71"/>
      <c r="F1329" s="71"/>
      <c r="G1329" s="71"/>
      <c r="H1329" s="71"/>
      <c r="I1329" s="71"/>
      <c r="J1329" s="71"/>
    </row>
    <row r="1330" spans="4:10">
      <c r="D1330" s="71"/>
      <c r="E1330" s="71"/>
      <c r="F1330" s="71"/>
      <c r="G1330" s="71"/>
      <c r="H1330" s="71"/>
      <c r="I1330" s="71"/>
      <c r="J1330" s="71"/>
    </row>
    <row r="1331" spans="4:10">
      <c r="D1331" s="71"/>
      <c r="E1331" s="71"/>
      <c r="F1331" s="71"/>
      <c r="G1331" s="71"/>
      <c r="H1331" s="71"/>
      <c r="I1331" s="71"/>
      <c r="J1331" s="71"/>
    </row>
    <row r="1332" spans="4:10">
      <c r="D1332" s="71"/>
      <c r="E1332" s="71"/>
      <c r="F1332" s="71"/>
      <c r="G1332" s="71"/>
      <c r="H1332" s="71"/>
      <c r="I1332" s="71"/>
      <c r="J1332" s="71"/>
    </row>
    <row r="1333" spans="4:10">
      <c r="D1333" s="71"/>
      <c r="E1333" s="71"/>
      <c r="F1333" s="71"/>
      <c r="G1333" s="71"/>
      <c r="H1333" s="71"/>
      <c r="I1333" s="71"/>
      <c r="J1333" s="71"/>
    </row>
    <row r="1334" spans="4:10">
      <c r="D1334" s="71"/>
      <c r="E1334" s="71"/>
      <c r="F1334" s="71"/>
      <c r="G1334" s="71"/>
      <c r="H1334" s="71"/>
      <c r="I1334" s="71"/>
      <c r="J1334" s="71"/>
    </row>
    <row r="1335" spans="4:10">
      <c r="D1335" s="71"/>
      <c r="E1335" s="71"/>
      <c r="F1335" s="71"/>
      <c r="G1335" s="71"/>
      <c r="H1335" s="71"/>
      <c r="I1335" s="71"/>
      <c r="J1335" s="71"/>
    </row>
    <row r="1336" spans="4:10">
      <c r="D1336" s="71"/>
      <c r="E1336" s="71"/>
      <c r="F1336" s="71"/>
      <c r="G1336" s="71"/>
      <c r="H1336" s="71"/>
      <c r="I1336" s="71"/>
      <c r="J1336" s="71"/>
    </row>
    <row r="1337" spans="4:10">
      <c r="D1337" s="71"/>
      <c r="E1337" s="71"/>
      <c r="F1337" s="71"/>
      <c r="G1337" s="71"/>
      <c r="H1337" s="71"/>
      <c r="I1337" s="71"/>
      <c r="J1337" s="71"/>
    </row>
    <row r="1338" spans="4:10">
      <c r="D1338" s="71"/>
      <c r="E1338" s="71"/>
      <c r="F1338" s="71"/>
      <c r="G1338" s="71"/>
      <c r="H1338" s="71"/>
      <c r="I1338" s="71"/>
      <c r="J1338" s="71"/>
    </row>
    <row r="1339" spans="4:10">
      <c r="D1339" s="71"/>
      <c r="E1339" s="71"/>
      <c r="F1339" s="71"/>
      <c r="G1339" s="71"/>
      <c r="H1339" s="71"/>
      <c r="I1339" s="71"/>
      <c r="J1339" s="71"/>
    </row>
    <row r="1340" spans="4:10">
      <c r="D1340" s="71"/>
      <c r="E1340" s="71"/>
      <c r="F1340" s="71"/>
      <c r="G1340" s="71"/>
      <c r="H1340" s="71"/>
      <c r="I1340" s="71"/>
      <c r="J1340" s="71"/>
    </row>
    <row r="1341" spans="4:10">
      <c r="D1341" s="71"/>
      <c r="E1341" s="71"/>
      <c r="F1341" s="71"/>
      <c r="G1341" s="71"/>
      <c r="H1341" s="71"/>
      <c r="I1341" s="71"/>
      <c r="J1341" s="71"/>
    </row>
    <row r="1342" spans="4:10">
      <c r="D1342" s="71"/>
      <c r="E1342" s="71"/>
      <c r="F1342" s="71"/>
      <c r="G1342" s="71"/>
      <c r="H1342" s="71"/>
      <c r="I1342" s="71"/>
      <c r="J1342" s="71"/>
    </row>
    <row r="1343" spans="4:10">
      <c r="D1343" s="71"/>
      <c r="E1343" s="71"/>
      <c r="F1343" s="71"/>
      <c r="G1343" s="71"/>
      <c r="H1343" s="71"/>
      <c r="I1343" s="71"/>
      <c r="J1343" s="71"/>
    </row>
    <row r="1344" spans="4:10">
      <c r="D1344" s="71"/>
      <c r="E1344" s="71"/>
      <c r="F1344" s="71"/>
      <c r="G1344" s="71"/>
      <c r="H1344" s="71"/>
      <c r="I1344" s="71"/>
      <c r="J1344" s="71"/>
    </row>
    <row r="1345" spans="4:10">
      <c r="D1345" s="71"/>
      <c r="E1345" s="71"/>
      <c r="F1345" s="71"/>
      <c r="G1345" s="71"/>
      <c r="H1345" s="71"/>
      <c r="I1345" s="71"/>
      <c r="J1345" s="71"/>
    </row>
    <row r="1346" spans="4:10">
      <c r="D1346" s="71"/>
      <c r="E1346" s="71"/>
      <c r="F1346" s="71"/>
      <c r="G1346" s="71"/>
      <c r="H1346" s="71"/>
      <c r="I1346" s="71"/>
      <c r="J1346" s="71"/>
    </row>
    <row r="1347" spans="4:10">
      <c r="D1347" s="71"/>
      <c r="E1347" s="71"/>
      <c r="F1347" s="71"/>
      <c r="G1347" s="71"/>
      <c r="H1347" s="71"/>
      <c r="I1347" s="71"/>
      <c r="J1347" s="71"/>
    </row>
    <row r="1348" spans="4:10">
      <c r="D1348" s="71"/>
      <c r="E1348" s="71"/>
      <c r="F1348" s="71"/>
      <c r="G1348" s="71"/>
      <c r="H1348" s="71"/>
      <c r="I1348" s="71"/>
      <c r="J1348" s="71"/>
    </row>
    <row r="1349" spans="4:10">
      <c r="D1349" s="71"/>
      <c r="E1349" s="71"/>
      <c r="F1349" s="71"/>
      <c r="G1349" s="71"/>
      <c r="H1349" s="71"/>
      <c r="I1349" s="71"/>
      <c r="J1349" s="71"/>
    </row>
    <row r="1350" spans="4:10">
      <c r="D1350" s="71"/>
      <c r="E1350" s="71"/>
      <c r="F1350" s="71"/>
      <c r="G1350" s="71"/>
      <c r="H1350" s="71"/>
      <c r="I1350" s="71"/>
      <c r="J1350" s="71"/>
    </row>
    <row r="1351" spans="4:10">
      <c r="D1351" s="71"/>
      <c r="E1351" s="71"/>
      <c r="F1351" s="71"/>
      <c r="G1351" s="71"/>
      <c r="H1351" s="71"/>
      <c r="I1351" s="71"/>
      <c r="J1351" s="71"/>
    </row>
    <row r="1352" spans="4:10">
      <c r="D1352" s="71"/>
      <c r="E1352" s="71"/>
      <c r="F1352" s="71"/>
      <c r="G1352" s="71"/>
      <c r="H1352" s="71"/>
      <c r="I1352" s="71"/>
      <c r="J1352" s="71"/>
    </row>
    <row r="1353" spans="4:10">
      <c r="D1353" s="71"/>
      <c r="E1353" s="71"/>
      <c r="F1353" s="71"/>
      <c r="G1353" s="71"/>
      <c r="H1353" s="71"/>
      <c r="I1353" s="71"/>
      <c r="J1353" s="71"/>
    </row>
    <row r="1354" spans="4:10">
      <c r="D1354" s="71"/>
      <c r="E1354" s="71"/>
      <c r="F1354" s="71"/>
      <c r="G1354" s="71"/>
      <c r="H1354" s="71"/>
      <c r="I1354" s="71"/>
      <c r="J1354" s="71"/>
    </row>
    <row r="1355" spans="4:10">
      <c r="D1355" s="71"/>
      <c r="E1355" s="71"/>
      <c r="F1355" s="71"/>
      <c r="G1355" s="71"/>
      <c r="H1355" s="71"/>
      <c r="I1355" s="71"/>
      <c r="J1355" s="71"/>
    </row>
    <row r="1356" spans="4:10">
      <c r="D1356" s="71"/>
      <c r="E1356" s="71"/>
      <c r="F1356" s="71"/>
      <c r="G1356" s="71"/>
      <c r="H1356" s="71"/>
      <c r="I1356" s="71"/>
      <c r="J1356" s="71"/>
    </row>
    <row r="1357" spans="4:10">
      <c r="D1357" s="71"/>
      <c r="E1357" s="71"/>
      <c r="F1357" s="71"/>
      <c r="G1357" s="71"/>
      <c r="H1357" s="71"/>
      <c r="I1357" s="71"/>
      <c r="J1357" s="71"/>
    </row>
    <row r="1358" spans="4:10">
      <c r="D1358" s="71"/>
      <c r="E1358" s="71"/>
      <c r="F1358" s="71"/>
      <c r="G1358" s="71"/>
      <c r="H1358" s="71"/>
      <c r="I1358" s="71"/>
      <c r="J1358" s="71"/>
    </row>
    <row r="1359" spans="4:10">
      <c r="D1359" s="71"/>
      <c r="E1359" s="71"/>
      <c r="F1359" s="71"/>
      <c r="G1359" s="71"/>
      <c r="H1359" s="71"/>
      <c r="I1359" s="71"/>
      <c r="J1359" s="71"/>
    </row>
    <row r="1360" spans="4:10">
      <c r="D1360" s="71"/>
      <c r="E1360" s="71"/>
      <c r="F1360" s="71"/>
      <c r="G1360" s="71"/>
      <c r="H1360" s="71"/>
      <c r="I1360" s="71"/>
      <c r="J1360" s="71"/>
    </row>
    <row r="1361" spans="4:10">
      <c r="D1361" s="71"/>
      <c r="E1361" s="71"/>
      <c r="F1361" s="71"/>
      <c r="G1361" s="71"/>
      <c r="H1361" s="71"/>
      <c r="I1361" s="71"/>
      <c r="J1361" s="71"/>
    </row>
    <row r="1362" spans="4:10">
      <c r="D1362" s="71"/>
      <c r="E1362" s="71"/>
      <c r="F1362" s="71"/>
      <c r="G1362" s="71"/>
      <c r="H1362" s="71"/>
      <c r="I1362" s="71"/>
      <c r="J1362" s="71"/>
    </row>
    <row r="1363" spans="4:10">
      <c r="D1363" s="71"/>
      <c r="E1363" s="71"/>
      <c r="F1363" s="71"/>
      <c r="G1363" s="71"/>
      <c r="H1363" s="71"/>
      <c r="I1363" s="71"/>
      <c r="J1363" s="71"/>
    </row>
    <row r="1364" spans="4:10">
      <c r="D1364" s="71"/>
      <c r="E1364" s="71"/>
      <c r="F1364" s="71"/>
      <c r="G1364" s="71"/>
      <c r="H1364" s="71"/>
      <c r="I1364" s="71"/>
      <c r="J1364" s="71"/>
    </row>
    <row r="1365" spans="4:10">
      <c r="D1365" s="71"/>
      <c r="E1365" s="71"/>
      <c r="F1365" s="71"/>
      <c r="G1365" s="71"/>
      <c r="H1365" s="71"/>
      <c r="I1365" s="71"/>
      <c r="J1365" s="71"/>
    </row>
    <row r="1366" spans="4:10">
      <c r="D1366" s="71"/>
      <c r="E1366" s="71"/>
      <c r="F1366" s="71"/>
      <c r="G1366" s="71"/>
      <c r="H1366" s="71"/>
      <c r="I1366" s="71"/>
      <c r="J1366" s="71"/>
    </row>
    <row r="1367" spans="4:10">
      <c r="D1367" s="71"/>
      <c r="E1367" s="71"/>
      <c r="F1367" s="71"/>
      <c r="G1367" s="71"/>
      <c r="H1367" s="71"/>
      <c r="I1367" s="71"/>
      <c r="J1367" s="71"/>
    </row>
    <row r="1368" spans="4:10">
      <c r="D1368" s="71"/>
      <c r="E1368" s="71"/>
      <c r="F1368" s="71"/>
      <c r="G1368" s="71"/>
      <c r="H1368" s="71"/>
      <c r="I1368" s="71"/>
      <c r="J1368" s="71"/>
    </row>
    <row r="1369" spans="4:10">
      <c r="D1369" s="71"/>
      <c r="E1369" s="71"/>
      <c r="F1369" s="71"/>
      <c r="G1369" s="71"/>
      <c r="H1369" s="71"/>
      <c r="I1369" s="71"/>
      <c r="J1369" s="71"/>
    </row>
    <row r="1370" spans="4:10">
      <c r="D1370" s="71"/>
      <c r="E1370" s="71"/>
      <c r="F1370" s="71"/>
      <c r="G1370" s="71"/>
      <c r="H1370" s="71"/>
      <c r="I1370" s="71"/>
      <c r="J1370" s="71"/>
    </row>
    <row r="1371" spans="4:10">
      <c r="D1371" s="71"/>
      <c r="E1371" s="71"/>
      <c r="F1371" s="71"/>
      <c r="G1371" s="71"/>
      <c r="H1371" s="71"/>
      <c r="I1371" s="71"/>
      <c r="J1371" s="71"/>
    </row>
    <row r="1372" spans="4:10">
      <c r="D1372" s="71"/>
      <c r="E1372" s="71"/>
      <c r="F1372" s="71"/>
      <c r="G1372" s="71"/>
      <c r="H1372" s="71"/>
      <c r="I1372" s="71"/>
      <c r="J1372" s="71"/>
    </row>
    <row r="1373" spans="4:10">
      <c r="D1373" s="71"/>
      <c r="E1373" s="71"/>
      <c r="F1373" s="71"/>
      <c r="G1373" s="71"/>
      <c r="H1373" s="71"/>
      <c r="I1373" s="71"/>
      <c r="J1373" s="71"/>
    </row>
    <row r="1374" spans="4:10">
      <c r="D1374" s="71"/>
      <c r="E1374" s="71"/>
      <c r="F1374" s="71"/>
      <c r="G1374" s="71"/>
      <c r="H1374" s="71"/>
      <c r="I1374" s="71"/>
      <c r="J1374" s="71"/>
    </row>
    <row r="1375" spans="4:10">
      <c r="D1375" s="71"/>
      <c r="E1375" s="71"/>
      <c r="F1375" s="71"/>
      <c r="G1375" s="71"/>
      <c r="H1375" s="71"/>
      <c r="I1375" s="71"/>
      <c r="J1375" s="71"/>
    </row>
    <row r="1376" spans="4:10">
      <c r="D1376" s="71"/>
      <c r="E1376" s="71"/>
      <c r="F1376" s="71"/>
      <c r="G1376" s="71"/>
      <c r="H1376" s="71"/>
      <c r="I1376" s="71"/>
      <c r="J1376" s="71"/>
    </row>
    <row r="1377" spans="4:10">
      <c r="D1377" s="71"/>
      <c r="E1377" s="71"/>
      <c r="F1377" s="71"/>
      <c r="G1377" s="71"/>
      <c r="H1377" s="71"/>
      <c r="I1377" s="71"/>
      <c r="J1377" s="71"/>
    </row>
    <row r="1378" spans="4:10">
      <c r="D1378" s="71"/>
      <c r="E1378" s="71"/>
      <c r="F1378" s="71"/>
      <c r="G1378" s="71"/>
      <c r="H1378" s="71"/>
      <c r="I1378" s="71"/>
      <c r="J1378" s="71"/>
    </row>
    <row r="1379" spans="4:10">
      <c r="D1379" s="71"/>
      <c r="E1379" s="71"/>
      <c r="F1379" s="71"/>
      <c r="G1379" s="71"/>
      <c r="H1379" s="71"/>
      <c r="I1379" s="71"/>
      <c r="J1379" s="71"/>
    </row>
    <row r="1380" spans="4:10">
      <c r="D1380" s="71"/>
      <c r="E1380" s="71"/>
      <c r="F1380" s="71"/>
      <c r="G1380" s="71"/>
      <c r="H1380" s="71"/>
      <c r="I1380" s="71"/>
      <c r="J1380" s="71"/>
    </row>
    <row r="1381" spans="4:10">
      <c r="D1381" s="71"/>
      <c r="E1381" s="71"/>
      <c r="F1381" s="71"/>
      <c r="G1381" s="71"/>
      <c r="H1381" s="71"/>
      <c r="I1381" s="71"/>
      <c r="J1381" s="71"/>
    </row>
    <row r="1382" spans="4:10">
      <c r="D1382" s="71"/>
      <c r="E1382" s="71"/>
      <c r="F1382" s="71"/>
      <c r="G1382" s="71"/>
      <c r="H1382" s="71"/>
      <c r="I1382" s="71"/>
      <c r="J1382" s="71"/>
    </row>
    <row r="1383" spans="4:10">
      <c r="D1383" s="71"/>
      <c r="E1383" s="71"/>
      <c r="F1383" s="71"/>
      <c r="G1383" s="71"/>
      <c r="H1383" s="71"/>
      <c r="I1383" s="71"/>
      <c r="J1383" s="71"/>
    </row>
    <row r="1384" spans="4:10">
      <c r="D1384" s="71"/>
      <c r="E1384" s="71"/>
      <c r="F1384" s="71"/>
      <c r="G1384" s="71"/>
      <c r="H1384" s="71"/>
      <c r="I1384" s="71"/>
      <c r="J1384" s="71"/>
    </row>
    <row r="1385" spans="4:10">
      <c r="D1385" s="71"/>
      <c r="E1385" s="71"/>
      <c r="F1385" s="71"/>
      <c r="G1385" s="71"/>
      <c r="H1385" s="71"/>
      <c r="I1385" s="71"/>
      <c r="J1385" s="71"/>
    </row>
    <row r="1386" spans="4:10">
      <c r="D1386" s="71"/>
      <c r="E1386" s="71"/>
      <c r="F1386" s="71"/>
      <c r="G1386" s="71"/>
      <c r="H1386" s="71"/>
      <c r="I1386" s="71"/>
      <c r="J1386" s="71"/>
    </row>
    <row r="1387" spans="4:10">
      <c r="D1387" s="71"/>
      <c r="E1387" s="71"/>
      <c r="F1387" s="71"/>
      <c r="G1387" s="71"/>
      <c r="H1387" s="71"/>
      <c r="I1387" s="71"/>
      <c r="J1387" s="71"/>
    </row>
    <row r="1388" spans="4:10">
      <c r="D1388" s="71"/>
      <c r="E1388" s="71"/>
      <c r="F1388" s="71"/>
      <c r="G1388" s="71"/>
      <c r="H1388" s="71"/>
      <c r="I1388" s="71"/>
      <c r="J1388" s="71"/>
    </row>
    <row r="1389" spans="4:10">
      <c r="D1389" s="71"/>
      <c r="E1389" s="71"/>
      <c r="F1389" s="71"/>
      <c r="G1389" s="71"/>
      <c r="H1389" s="71"/>
      <c r="I1389" s="71"/>
      <c r="J1389" s="71"/>
    </row>
    <row r="1390" spans="4:10">
      <c r="D1390" s="71"/>
      <c r="E1390" s="71"/>
      <c r="F1390" s="71"/>
      <c r="G1390" s="71"/>
      <c r="H1390" s="71"/>
      <c r="I1390" s="71"/>
      <c r="J1390" s="71"/>
    </row>
    <row r="1391" spans="4:10">
      <c r="D1391" s="71"/>
      <c r="E1391" s="71"/>
      <c r="F1391" s="71"/>
      <c r="G1391" s="71"/>
      <c r="H1391" s="71"/>
      <c r="I1391" s="71"/>
      <c r="J1391" s="71"/>
    </row>
    <row r="1392" spans="4:10">
      <c r="D1392" s="71"/>
      <c r="E1392" s="71"/>
      <c r="F1392" s="71"/>
      <c r="G1392" s="71"/>
      <c r="H1392" s="71"/>
      <c r="I1392" s="71"/>
      <c r="J1392" s="71"/>
    </row>
    <row r="1393" spans="4:10">
      <c r="D1393" s="71"/>
      <c r="E1393" s="71"/>
      <c r="F1393" s="71"/>
      <c r="G1393" s="71"/>
      <c r="H1393" s="71"/>
      <c r="I1393" s="71"/>
      <c r="J1393" s="71"/>
    </row>
    <row r="1394" spans="4:10">
      <c r="D1394" s="71"/>
      <c r="E1394" s="71"/>
      <c r="F1394" s="71"/>
      <c r="G1394" s="71"/>
      <c r="H1394" s="71"/>
      <c r="I1394" s="71"/>
      <c r="J1394" s="71"/>
    </row>
    <row r="1395" spans="4:10">
      <c r="D1395" s="71"/>
      <c r="E1395" s="71"/>
      <c r="F1395" s="71"/>
      <c r="G1395" s="71"/>
      <c r="H1395" s="71"/>
      <c r="I1395" s="71"/>
      <c r="J1395" s="71"/>
    </row>
    <row r="1396" spans="4:10">
      <c r="D1396" s="71"/>
      <c r="E1396" s="71"/>
      <c r="F1396" s="71"/>
      <c r="G1396" s="71"/>
      <c r="H1396" s="71"/>
      <c r="I1396" s="71"/>
      <c r="J1396" s="71"/>
    </row>
    <row r="1397" spans="4:10">
      <c r="D1397" s="71"/>
      <c r="E1397" s="71"/>
      <c r="F1397" s="71"/>
      <c r="G1397" s="71"/>
      <c r="H1397" s="71"/>
      <c r="I1397" s="71"/>
      <c r="J1397" s="71"/>
    </row>
    <row r="1398" spans="4:10">
      <c r="D1398" s="71"/>
      <c r="E1398" s="71"/>
      <c r="F1398" s="71"/>
      <c r="G1398" s="71"/>
      <c r="H1398" s="71"/>
      <c r="I1398" s="71"/>
      <c r="J1398" s="71"/>
    </row>
    <row r="1399" spans="4:10">
      <c r="D1399" s="71"/>
      <c r="E1399" s="71"/>
      <c r="F1399" s="71"/>
      <c r="G1399" s="71"/>
      <c r="H1399" s="71"/>
      <c r="I1399" s="71"/>
      <c r="J1399" s="71"/>
    </row>
    <row r="1400" spans="4:10">
      <c r="D1400" s="71"/>
      <c r="E1400" s="71"/>
      <c r="F1400" s="71"/>
      <c r="G1400" s="71"/>
      <c r="H1400" s="71"/>
      <c r="I1400" s="71"/>
      <c r="J1400" s="71"/>
    </row>
    <row r="1401" spans="4:10">
      <c r="D1401" s="71"/>
      <c r="E1401" s="71"/>
      <c r="F1401" s="71"/>
      <c r="G1401" s="71"/>
      <c r="H1401" s="71"/>
      <c r="I1401" s="71"/>
      <c r="J1401" s="71"/>
    </row>
    <row r="1402" spans="4:10">
      <c r="D1402" s="71"/>
      <c r="E1402" s="71"/>
      <c r="F1402" s="71"/>
      <c r="G1402" s="71"/>
      <c r="H1402" s="71"/>
      <c r="I1402" s="71"/>
      <c r="J1402" s="71"/>
    </row>
    <row r="1403" spans="4:10">
      <c r="D1403" s="71"/>
      <c r="E1403" s="71"/>
      <c r="F1403" s="71"/>
      <c r="G1403" s="71"/>
      <c r="H1403" s="71"/>
      <c r="I1403" s="71"/>
      <c r="J1403" s="71"/>
    </row>
    <row r="1404" spans="4:10">
      <c r="D1404" s="71"/>
      <c r="E1404" s="71"/>
      <c r="F1404" s="71"/>
      <c r="G1404" s="71"/>
      <c r="H1404" s="71"/>
      <c r="I1404" s="71"/>
      <c r="J1404" s="71"/>
    </row>
    <row r="1405" spans="4:10">
      <c r="D1405" s="71"/>
      <c r="E1405" s="71"/>
      <c r="F1405" s="71"/>
      <c r="G1405" s="71"/>
      <c r="H1405" s="71"/>
      <c r="I1405" s="71"/>
      <c r="J1405" s="71"/>
    </row>
    <row r="1406" spans="4:10">
      <c r="D1406" s="71"/>
      <c r="E1406" s="71"/>
      <c r="F1406" s="71"/>
      <c r="G1406" s="71"/>
      <c r="H1406" s="71"/>
      <c r="I1406" s="71"/>
      <c r="J1406" s="71"/>
    </row>
    <row r="1407" spans="4:10">
      <c r="D1407" s="71"/>
      <c r="E1407" s="71"/>
      <c r="F1407" s="71"/>
      <c r="G1407" s="71"/>
      <c r="H1407" s="71"/>
      <c r="I1407" s="71"/>
      <c r="J1407" s="71"/>
    </row>
    <row r="1408" spans="4:10">
      <c r="D1408" s="71"/>
      <c r="E1408" s="71"/>
      <c r="F1408" s="71"/>
      <c r="G1408" s="71"/>
      <c r="H1408" s="71"/>
      <c r="I1408" s="71"/>
      <c r="J1408" s="71"/>
    </row>
    <row r="1409" spans="4:10">
      <c r="D1409" s="71"/>
      <c r="E1409" s="71"/>
      <c r="F1409" s="71"/>
      <c r="G1409" s="71"/>
      <c r="H1409" s="71"/>
      <c r="I1409" s="71"/>
      <c r="J1409" s="71"/>
    </row>
    <row r="1410" spans="4:10">
      <c r="D1410" s="71"/>
      <c r="E1410" s="71"/>
      <c r="F1410" s="71"/>
      <c r="G1410" s="71"/>
      <c r="H1410" s="71"/>
      <c r="I1410" s="71"/>
      <c r="J1410" s="71"/>
    </row>
    <row r="1411" spans="4:10">
      <c r="D1411" s="71"/>
      <c r="E1411" s="71"/>
      <c r="F1411" s="71"/>
      <c r="G1411" s="71"/>
      <c r="H1411" s="71"/>
      <c r="I1411" s="71"/>
      <c r="J1411" s="71"/>
    </row>
    <row r="1412" spans="4:10">
      <c r="D1412" s="71"/>
      <c r="E1412" s="71"/>
      <c r="F1412" s="71"/>
      <c r="G1412" s="71"/>
      <c r="H1412" s="71"/>
      <c r="I1412" s="71"/>
      <c r="J1412" s="71"/>
    </row>
    <row r="1413" spans="4:10">
      <c r="D1413" s="71"/>
      <c r="E1413" s="71"/>
      <c r="F1413" s="71"/>
      <c r="G1413" s="71"/>
      <c r="H1413" s="71"/>
      <c r="I1413" s="71"/>
      <c r="J1413" s="71"/>
    </row>
    <row r="1414" spans="4:10">
      <c r="D1414" s="71"/>
      <c r="E1414" s="71"/>
      <c r="F1414" s="71"/>
      <c r="G1414" s="71"/>
      <c r="H1414" s="71"/>
      <c r="I1414" s="71"/>
      <c r="J1414" s="71"/>
    </row>
    <row r="1415" spans="4:10">
      <c r="D1415" s="71"/>
      <c r="E1415" s="71"/>
      <c r="F1415" s="71"/>
      <c r="G1415" s="71"/>
      <c r="H1415" s="71"/>
      <c r="I1415" s="71"/>
      <c r="J1415" s="71"/>
    </row>
    <row r="1416" spans="4:10">
      <c r="D1416" s="71"/>
      <c r="E1416" s="71"/>
      <c r="F1416" s="71"/>
      <c r="G1416" s="71"/>
      <c r="H1416" s="71"/>
      <c r="I1416" s="71"/>
      <c r="J1416" s="71"/>
    </row>
    <row r="1417" spans="4:10">
      <c r="D1417" s="71"/>
      <c r="E1417" s="71"/>
      <c r="F1417" s="71"/>
      <c r="G1417" s="71"/>
      <c r="H1417" s="71"/>
      <c r="I1417" s="71"/>
      <c r="J1417" s="71"/>
    </row>
    <row r="1418" spans="4:10">
      <c r="D1418" s="71"/>
      <c r="E1418" s="71"/>
      <c r="F1418" s="71"/>
      <c r="G1418" s="71"/>
      <c r="H1418" s="71"/>
      <c r="I1418" s="71"/>
      <c r="J1418" s="71"/>
    </row>
    <row r="1419" spans="4:10">
      <c r="D1419" s="71"/>
      <c r="E1419" s="71"/>
      <c r="F1419" s="71"/>
      <c r="G1419" s="71"/>
      <c r="H1419" s="71"/>
      <c r="I1419" s="71"/>
      <c r="J1419" s="71"/>
    </row>
    <row r="1420" spans="4:10">
      <c r="D1420" s="71"/>
      <c r="E1420" s="71"/>
      <c r="F1420" s="71"/>
      <c r="G1420" s="71"/>
      <c r="H1420" s="71"/>
      <c r="I1420" s="71"/>
      <c r="J1420" s="71"/>
    </row>
    <row r="1421" spans="4:10">
      <c r="D1421" s="71"/>
      <c r="E1421" s="71"/>
      <c r="F1421" s="71"/>
      <c r="G1421" s="71"/>
      <c r="H1421" s="71"/>
      <c r="I1421" s="71"/>
      <c r="J1421" s="71"/>
    </row>
    <row r="1422" spans="4:10">
      <c r="D1422" s="71"/>
      <c r="E1422" s="71"/>
      <c r="F1422" s="71"/>
      <c r="G1422" s="71"/>
      <c r="H1422" s="71"/>
      <c r="I1422" s="71"/>
      <c r="J1422" s="71"/>
    </row>
    <row r="1423" spans="4:10">
      <c r="D1423" s="71"/>
      <c r="E1423" s="71"/>
      <c r="F1423" s="71"/>
      <c r="G1423" s="71"/>
      <c r="H1423" s="71"/>
      <c r="I1423" s="71"/>
      <c r="J1423" s="71"/>
    </row>
    <row r="1424" spans="4:10">
      <c r="D1424" s="71"/>
      <c r="E1424" s="71"/>
      <c r="F1424" s="71"/>
      <c r="G1424" s="71"/>
      <c r="H1424" s="71"/>
      <c r="I1424" s="71"/>
      <c r="J1424" s="71"/>
    </row>
    <row r="1425" spans="4:10">
      <c r="D1425" s="71"/>
      <c r="E1425" s="71"/>
      <c r="F1425" s="71"/>
      <c r="G1425" s="71"/>
      <c r="H1425" s="71"/>
      <c r="I1425" s="71"/>
      <c r="J1425" s="71"/>
    </row>
    <row r="1426" spans="4:10">
      <c r="D1426" s="71"/>
      <c r="E1426" s="71"/>
      <c r="F1426" s="71"/>
      <c r="G1426" s="71"/>
      <c r="H1426" s="71"/>
      <c r="I1426" s="71"/>
      <c r="J1426" s="71"/>
    </row>
    <row r="1427" spans="4:10">
      <c r="D1427" s="71"/>
      <c r="E1427" s="71"/>
      <c r="F1427" s="71"/>
      <c r="G1427" s="71"/>
      <c r="H1427" s="71"/>
      <c r="I1427" s="71"/>
      <c r="J1427" s="71"/>
    </row>
    <row r="1428" spans="4:10">
      <c r="D1428" s="71"/>
      <c r="E1428" s="71"/>
      <c r="F1428" s="71"/>
      <c r="G1428" s="71"/>
      <c r="H1428" s="71"/>
      <c r="I1428" s="71"/>
      <c r="J1428" s="71"/>
    </row>
    <row r="1429" spans="4:10">
      <c r="D1429" s="71"/>
      <c r="E1429" s="71"/>
      <c r="F1429" s="71"/>
      <c r="G1429" s="71"/>
      <c r="H1429" s="71"/>
      <c r="I1429" s="71"/>
      <c r="J1429" s="71"/>
    </row>
    <row r="1430" spans="4:10">
      <c r="D1430" s="71"/>
      <c r="E1430" s="71"/>
      <c r="F1430" s="71"/>
      <c r="G1430" s="71"/>
      <c r="H1430" s="71"/>
      <c r="I1430" s="71"/>
      <c r="J1430" s="71"/>
    </row>
    <row r="1431" spans="4:10">
      <c r="D1431" s="71"/>
      <c r="E1431" s="71"/>
      <c r="F1431" s="71"/>
      <c r="G1431" s="71"/>
      <c r="H1431" s="71"/>
      <c r="I1431" s="71"/>
      <c r="J1431" s="71"/>
    </row>
    <row r="1432" spans="4:10">
      <c r="D1432" s="71"/>
      <c r="E1432" s="71"/>
      <c r="F1432" s="71"/>
      <c r="G1432" s="71"/>
      <c r="H1432" s="71"/>
      <c r="I1432" s="71"/>
      <c r="J1432" s="71"/>
    </row>
    <row r="1433" spans="4:10">
      <c r="D1433" s="71"/>
      <c r="E1433" s="71"/>
      <c r="F1433" s="71"/>
      <c r="G1433" s="71"/>
      <c r="H1433" s="71"/>
      <c r="I1433" s="71"/>
      <c r="J1433" s="71"/>
    </row>
    <row r="1434" spans="4:10">
      <c r="D1434" s="71"/>
      <c r="E1434" s="71"/>
      <c r="F1434" s="71"/>
      <c r="G1434" s="71"/>
      <c r="H1434" s="71"/>
      <c r="I1434" s="71"/>
      <c r="J1434" s="71"/>
    </row>
    <row r="1435" spans="4:10">
      <c r="D1435" s="71"/>
      <c r="E1435" s="71"/>
      <c r="F1435" s="71"/>
      <c r="G1435" s="71"/>
      <c r="H1435" s="71"/>
      <c r="I1435" s="71"/>
      <c r="J1435" s="71"/>
    </row>
    <row r="1436" spans="4:10">
      <c r="D1436" s="71"/>
      <c r="E1436" s="71"/>
      <c r="F1436" s="71"/>
      <c r="G1436" s="71"/>
      <c r="H1436" s="71"/>
      <c r="I1436" s="71"/>
      <c r="J1436" s="71"/>
    </row>
    <row r="1437" spans="4:10">
      <c r="D1437" s="71"/>
      <c r="E1437" s="71"/>
      <c r="F1437" s="71"/>
      <c r="G1437" s="71"/>
      <c r="H1437" s="71"/>
      <c r="I1437" s="71"/>
      <c r="J1437" s="71"/>
    </row>
    <row r="1438" spans="4:10">
      <c r="D1438" s="71"/>
      <c r="E1438" s="71"/>
      <c r="F1438" s="71"/>
      <c r="G1438" s="71"/>
      <c r="H1438" s="71"/>
      <c r="I1438" s="71"/>
      <c r="J1438" s="71"/>
    </row>
    <row r="1439" spans="4:10">
      <c r="D1439" s="71"/>
      <c r="E1439" s="71"/>
      <c r="F1439" s="71"/>
      <c r="G1439" s="71"/>
      <c r="H1439" s="71"/>
      <c r="I1439" s="71"/>
      <c r="J1439" s="71"/>
    </row>
    <row r="1440" spans="4:10">
      <c r="D1440" s="71"/>
      <c r="E1440" s="71"/>
      <c r="F1440" s="71"/>
      <c r="G1440" s="71"/>
      <c r="H1440" s="71"/>
      <c r="I1440" s="71"/>
      <c r="J1440" s="71"/>
    </row>
    <row r="1441" spans="4:10">
      <c r="D1441" s="71"/>
      <c r="E1441" s="71"/>
      <c r="F1441" s="71"/>
      <c r="G1441" s="71"/>
      <c r="H1441" s="71"/>
      <c r="I1441" s="71"/>
      <c r="J1441" s="71"/>
    </row>
    <row r="1442" spans="4:10">
      <c r="D1442" s="71"/>
      <c r="E1442" s="71"/>
      <c r="F1442" s="71"/>
      <c r="G1442" s="71"/>
      <c r="H1442" s="71"/>
      <c r="I1442" s="71"/>
      <c r="J1442" s="71"/>
    </row>
    <row r="1443" spans="4:10">
      <c r="D1443" s="71"/>
      <c r="E1443" s="71"/>
      <c r="F1443" s="71"/>
      <c r="G1443" s="71"/>
      <c r="H1443" s="71"/>
      <c r="I1443" s="71"/>
      <c r="J1443" s="71"/>
    </row>
    <row r="1444" spans="4:10">
      <c r="D1444" s="71"/>
      <c r="E1444" s="71"/>
      <c r="F1444" s="71"/>
      <c r="G1444" s="71"/>
      <c r="H1444" s="71"/>
      <c r="I1444" s="71"/>
      <c r="J1444" s="71"/>
    </row>
    <row r="1445" spans="4:10">
      <c r="D1445" s="71"/>
      <c r="E1445" s="71"/>
      <c r="F1445" s="71"/>
      <c r="G1445" s="71"/>
      <c r="H1445" s="71"/>
      <c r="I1445" s="71"/>
      <c r="J1445" s="71"/>
    </row>
    <row r="1446" spans="4:10">
      <c r="D1446" s="71"/>
      <c r="E1446" s="71"/>
      <c r="F1446" s="71"/>
      <c r="G1446" s="71"/>
      <c r="H1446" s="71"/>
      <c r="I1446" s="71"/>
      <c r="J1446" s="71"/>
    </row>
    <row r="1447" spans="4:10">
      <c r="D1447" s="71"/>
      <c r="E1447" s="71"/>
      <c r="F1447" s="71"/>
      <c r="G1447" s="71"/>
      <c r="H1447" s="71"/>
      <c r="I1447" s="71"/>
      <c r="J1447" s="71"/>
    </row>
    <row r="1448" spans="4:10">
      <c r="D1448" s="71"/>
      <c r="E1448" s="71"/>
      <c r="F1448" s="71"/>
      <c r="G1448" s="71"/>
      <c r="H1448" s="71"/>
      <c r="I1448" s="71"/>
      <c r="J1448" s="71"/>
    </row>
    <row r="1449" spans="4:10">
      <c r="D1449" s="71"/>
      <c r="E1449" s="71"/>
      <c r="F1449" s="71"/>
      <c r="G1449" s="71"/>
      <c r="H1449" s="71"/>
      <c r="I1449" s="71"/>
      <c r="J1449" s="71"/>
    </row>
    <row r="1450" spans="4:10">
      <c r="D1450" s="71"/>
      <c r="E1450" s="71"/>
      <c r="F1450" s="71"/>
      <c r="G1450" s="71"/>
      <c r="H1450" s="71"/>
      <c r="I1450" s="71"/>
      <c r="J1450" s="71"/>
    </row>
    <row r="1451" spans="4:10">
      <c r="D1451" s="71"/>
      <c r="E1451" s="71"/>
      <c r="F1451" s="71"/>
      <c r="G1451" s="71"/>
      <c r="H1451" s="71"/>
      <c r="I1451" s="71"/>
      <c r="J1451" s="71"/>
    </row>
    <row r="1452" spans="4:10">
      <c r="D1452" s="71"/>
      <c r="E1452" s="71"/>
      <c r="F1452" s="71"/>
      <c r="G1452" s="71"/>
      <c r="H1452" s="71"/>
      <c r="I1452" s="71"/>
      <c r="J1452" s="71"/>
    </row>
    <row r="1453" spans="4:10">
      <c r="D1453" s="71"/>
      <c r="E1453" s="71"/>
      <c r="F1453" s="71"/>
      <c r="G1453" s="71"/>
      <c r="H1453" s="71"/>
      <c r="I1453" s="71"/>
      <c r="J1453" s="71"/>
    </row>
    <row r="1454" spans="4:10">
      <c r="D1454" s="71"/>
      <c r="E1454" s="71"/>
      <c r="F1454" s="71"/>
      <c r="G1454" s="71"/>
      <c r="H1454" s="71"/>
      <c r="I1454" s="71"/>
      <c r="J1454" s="71"/>
    </row>
    <row r="1455" spans="4:10">
      <c r="D1455" s="71"/>
      <c r="E1455" s="71"/>
      <c r="F1455" s="71"/>
      <c r="G1455" s="71"/>
      <c r="H1455" s="71"/>
      <c r="I1455" s="71"/>
      <c r="J1455" s="71"/>
    </row>
    <row r="1456" spans="4:10">
      <c r="D1456" s="71"/>
      <c r="E1456" s="71"/>
      <c r="F1456" s="71"/>
      <c r="G1456" s="71"/>
      <c r="H1456" s="71"/>
      <c r="I1456" s="71"/>
      <c r="J1456" s="71"/>
    </row>
    <row r="1457" spans="4:10">
      <c r="D1457" s="71"/>
      <c r="E1457" s="71"/>
      <c r="F1457" s="71"/>
      <c r="G1457" s="71"/>
      <c r="H1457" s="71"/>
      <c r="I1457" s="71"/>
      <c r="J1457" s="71"/>
    </row>
    <row r="1458" spans="4:10">
      <c r="D1458" s="71"/>
      <c r="E1458" s="71"/>
      <c r="F1458" s="71"/>
      <c r="G1458" s="71"/>
      <c r="H1458" s="71"/>
      <c r="I1458" s="71"/>
      <c r="J1458" s="71"/>
    </row>
    <row r="1459" spans="4:10">
      <c r="D1459" s="71"/>
      <c r="E1459" s="71"/>
      <c r="F1459" s="71"/>
      <c r="G1459" s="71"/>
      <c r="H1459" s="71"/>
      <c r="I1459" s="71"/>
      <c r="J1459" s="71"/>
    </row>
    <row r="1460" spans="4:10">
      <c r="D1460" s="71"/>
      <c r="E1460" s="71"/>
      <c r="F1460" s="71"/>
      <c r="G1460" s="71"/>
      <c r="H1460" s="71"/>
      <c r="I1460" s="71"/>
      <c r="J1460" s="71"/>
    </row>
    <row r="1461" spans="4:10">
      <c r="D1461" s="71"/>
      <c r="E1461" s="71"/>
      <c r="F1461" s="71"/>
      <c r="G1461" s="71"/>
      <c r="H1461" s="71"/>
      <c r="I1461" s="71"/>
      <c r="J1461" s="71"/>
    </row>
    <row r="1462" spans="4:10">
      <c r="D1462" s="71"/>
      <c r="E1462" s="71"/>
      <c r="F1462" s="71"/>
      <c r="G1462" s="71"/>
      <c r="H1462" s="71"/>
      <c r="I1462" s="71"/>
      <c r="J1462" s="71"/>
    </row>
    <row r="1463" spans="4:10">
      <c r="D1463" s="71"/>
      <c r="E1463" s="71"/>
      <c r="F1463" s="71"/>
      <c r="G1463" s="71"/>
      <c r="H1463" s="71"/>
      <c r="I1463" s="71"/>
      <c r="J1463" s="71"/>
    </row>
    <row r="1464" spans="4:10">
      <c r="D1464" s="71"/>
      <c r="E1464" s="71"/>
      <c r="F1464" s="71"/>
      <c r="G1464" s="71"/>
      <c r="H1464" s="71"/>
      <c r="I1464" s="71"/>
      <c r="J1464" s="71"/>
    </row>
    <row r="1465" spans="4:10">
      <c r="D1465" s="71"/>
      <c r="E1465" s="71"/>
      <c r="F1465" s="71"/>
      <c r="G1465" s="71"/>
      <c r="H1465" s="71"/>
      <c r="I1465" s="71"/>
      <c r="J1465" s="71"/>
    </row>
    <row r="1466" spans="4:10">
      <c r="D1466" s="71"/>
      <c r="E1466" s="71"/>
      <c r="F1466" s="71"/>
      <c r="G1466" s="71"/>
      <c r="H1466" s="71"/>
      <c r="I1466" s="71"/>
      <c r="J1466" s="71"/>
    </row>
    <row r="1467" spans="4:10">
      <c r="D1467" s="71"/>
      <c r="E1467" s="71"/>
      <c r="F1467" s="71"/>
      <c r="G1467" s="71"/>
      <c r="H1467" s="71"/>
      <c r="I1467" s="71"/>
      <c r="J1467" s="71"/>
    </row>
    <row r="1468" spans="4:10">
      <c r="D1468" s="71"/>
      <c r="E1468" s="71"/>
      <c r="F1468" s="71"/>
      <c r="G1468" s="71"/>
      <c r="H1468" s="71"/>
      <c r="I1468" s="71"/>
      <c r="J1468" s="71"/>
    </row>
    <row r="1469" spans="4:10">
      <c r="D1469" s="71"/>
      <c r="E1469" s="71"/>
      <c r="F1469" s="71"/>
      <c r="G1469" s="71"/>
      <c r="H1469" s="71"/>
      <c r="I1469" s="71"/>
      <c r="J1469" s="71"/>
    </row>
    <row r="1470" spans="4:10">
      <c r="D1470" s="71"/>
      <c r="E1470" s="71"/>
      <c r="F1470" s="71"/>
      <c r="G1470" s="71"/>
      <c r="H1470" s="71"/>
      <c r="I1470" s="71"/>
      <c r="J1470" s="71"/>
    </row>
    <row r="1471" spans="4:10">
      <c r="D1471" s="71"/>
      <c r="E1471" s="71"/>
      <c r="F1471" s="71"/>
      <c r="G1471" s="71"/>
      <c r="H1471" s="71"/>
      <c r="I1471" s="71"/>
      <c r="J1471" s="71"/>
    </row>
    <row r="1472" spans="4:10">
      <c r="D1472" s="71"/>
      <c r="E1472" s="71"/>
      <c r="F1472" s="71"/>
      <c r="G1472" s="71"/>
      <c r="H1472" s="71"/>
      <c r="I1472" s="71"/>
      <c r="J1472" s="71"/>
    </row>
    <row r="1473" spans="4:10">
      <c r="D1473" s="71"/>
      <c r="E1473" s="71"/>
      <c r="F1473" s="71"/>
      <c r="G1473" s="71"/>
      <c r="H1473" s="71"/>
      <c r="I1473" s="71"/>
      <c r="J1473" s="71"/>
    </row>
    <row r="1474" spans="4:10">
      <c r="D1474" s="71"/>
      <c r="E1474" s="71"/>
      <c r="F1474" s="71"/>
      <c r="G1474" s="71"/>
      <c r="H1474" s="71"/>
      <c r="I1474" s="71"/>
      <c r="J1474" s="71"/>
    </row>
    <row r="1475" spans="4:10">
      <c r="D1475" s="71"/>
      <c r="E1475" s="71"/>
      <c r="F1475" s="71"/>
      <c r="G1475" s="71"/>
      <c r="H1475" s="71"/>
      <c r="I1475" s="71"/>
      <c r="J1475" s="71"/>
    </row>
    <row r="1476" spans="4:10">
      <c r="D1476" s="71"/>
      <c r="E1476" s="71"/>
      <c r="F1476" s="71"/>
      <c r="G1476" s="71"/>
      <c r="H1476" s="71"/>
      <c r="I1476" s="71"/>
      <c r="J1476" s="71"/>
    </row>
    <row r="1477" spans="4:10">
      <c r="D1477" s="71"/>
      <c r="E1477" s="71"/>
      <c r="F1477" s="71"/>
      <c r="G1477" s="71"/>
      <c r="H1477" s="71"/>
      <c r="I1477" s="71"/>
      <c r="J1477" s="71"/>
    </row>
    <row r="1478" spans="4:10">
      <c r="D1478" s="71"/>
      <c r="E1478" s="71"/>
      <c r="F1478" s="71"/>
      <c r="G1478" s="71"/>
      <c r="H1478" s="71"/>
      <c r="I1478" s="71"/>
      <c r="J1478" s="71"/>
    </row>
    <row r="1479" spans="4:10">
      <c r="D1479" s="71"/>
      <c r="E1479" s="71"/>
      <c r="F1479" s="71"/>
      <c r="G1479" s="71"/>
      <c r="H1479" s="71"/>
      <c r="I1479" s="71"/>
      <c r="J1479" s="71"/>
    </row>
    <row r="1480" spans="4:10">
      <c r="D1480" s="71"/>
      <c r="E1480" s="71"/>
      <c r="F1480" s="71"/>
      <c r="G1480" s="71"/>
      <c r="H1480" s="71"/>
      <c r="I1480" s="71"/>
      <c r="J1480" s="71"/>
    </row>
    <row r="1481" spans="4:10">
      <c r="D1481" s="71"/>
      <c r="E1481" s="71"/>
      <c r="F1481" s="71"/>
      <c r="G1481" s="71"/>
      <c r="H1481" s="71"/>
      <c r="I1481" s="71"/>
      <c r="J1481" s="71"/>
    </row>
    <row r="1482" spans="4:10">
      <c r="D1482" s="71"/>
      <c r="E1482" s="71"/>
      <c r="F1482" s="71"/>
      <c r="G1482" s="71"/>
      <c r="H1482" s="71"/>
      <c r="I1482" s="71"/>
      <c r="J1482" s="71"/>
    </row>
    <row r="1483" spans="4:10">
      <c r="D1483" s="71"/>
      <c r="E1483" s="71"/>
      <c r="F1483" s="71"/>
      <c r="G1483" s="71"/>
      <c r="H1483" s="71"/>
      <c r="I1483" s="71"/>
      <c r="J1483" s="71"/>
    </row>
    <row r="1484" spans="4:10">
      <c r="D1484" s="71"/>
      <c r="E1484" s="71"/>
      <c r="F1484" s="71"/>
      <c r="G1484" s="71"/>
      <c r="H1484" s="71"/>
      <c r="I1484" s="71"/>
      <c r="J1484" s="71"/>
    </row>
    <row r="1485" spans="4:10">
      <c r="D1485" s="71"/>
      <c r="E1485" s="71"/>
      <c r="F1485" s="71"/>
      <c r="G1485" s="71"/>
      <c r="H1485" s="71"/>
      <c r="I1485" s="71"/>
      <c r="J1485" s="71"/>
    </row>
    <row r="1486" spans="4:10">
      <c r="D1486" s="71"/>
      <c r="E1486" s="71"/>
      <c r="F1486" s="71"/>
      <c r="G1486" s="71"/>
      <c r="H1486" s="71"/>
      <c r="I1486" s="71"/>
      <c r="J1486" s="71"/>
    </row>
    <row r="1487" spans="4:10">
      <c r="D1487" s="71"/>
      <c r="E1487" s="71"/>
      <c r="F1487" s="71"/>
      <c r="G1487" s="71"/>
      <c r="H1487" s="71"/>
      <c r="I1487" s="71"/>
      <c r="J1487" s="71"/>
    </row>
    <row r="1488" spans="4:10">
      <c r="D1488" s="71"/>
      <c r="E1488" s="71"/>
      <c r="F1488" s="71"/>
      <c r="G1488" s="71"/>
      <c r="H1488" s="71"/>
      <c r="I1488" s="71"/>
      <c r="J1488" s="71"/>
    </row>
    <row r="1489" spans="4:10">
      <c r="D1489" s="71"/>
      <c r="E1489" s="71"/>
      <c r="F1489" s="71"/>
      <c r="G1489" s="71"/>
      <c r="H1489" s="71"/>
      <c r="I1489" s="71"/>
      <c r="J1489" s="71"/>
    </row>
    <row r="1490" spans="4:10">
      <c r="D1490" s="71"/>
      <c r="E1490" s="71"/>
      <c r="F1490" s="71"/>
      <c r="G1490" s="71"/>
      <c r="H1490" s="71"/>
      <c r="I1490" s="71"/>
      <c r="J1490" s="71"/>
    </row>
    <row r="1491" spans="4:10">
      <c r="D1491" s="71"/>
      <c r="E1491" s="71"/>
      <c r="F1491" s="71"/>
      <c r="G1491" s="71"/>
      <c r="H1491" s="71"/>
      <c r="I1491" s="71"/>
      <c r="J1491" s="71"/>
    </row>
    <row r="1492" spans="4:10">
      <c r="D1492" s="71"/>
      <c r="E1492" s="71"/>
      <c r="F1492" s="71"/>
      <c r="G1492" s="71"/>
      <c r="H1492" s="71"/>
      <c r="I1492" s="71"/>
      <c r="J1492" s="71"/>
    </row>
    <row r="1493" spans="4:10">
      <c r="D1493" s="71"/>
      <c r="E1493" s="71"/>
      <c r="F1493" s="71"/>
      <c r="G1493" s="71"/>
      <c r="H1493" s="71"/>
      <c r="I1493" s="71"/>
      <c r="J1493" s="71"/>
    </row>
    <row r="1494" spans="4:10">
      <c r="D1494" s="71"/>
      <c r="E1494" s="71"/>
      <c r="F1494" s="71"/>
      <c r="G1494" s="71"/>
      <c r="H1494" s="71"/>
      <c r="I1494" s="71"/>
      <c r="J1494" s="71"/>
    </row>
    <row r="1495" spans="4:10">
      <c r="D1495" s="71"/>
      <c r="E1495" s="71"/>
      <c r="F1495" s="71"/>
      <c r="G1495" s="71"/>
      <c r="H1495" s="71"/>
      <c r="I1495" s="71"/>
      <c r="J1495" s="71"/>
    </row>
    <row r="1496" spans="4:10">
      <c r="D1496" s="71"/>
      <c r="E1496" s="71"/>
      <c r="F1496" s="71"/>
      <c r="G1496" s="71"/>
      <c r="H1496" s="71"/>
      <c r="I1496" s="71"/>
      <c r="J1496" s="71"/>
    </row>
    <row r="1497" spans="4:10">
      <c r="D1497" s="71"/>
      <c r="E1497" s="71"/>
      <c r="F1497" s="71"/>
      <c r="G1497" s="71"/>
      <c r="H1497" s="71"/>
      <c r="I1497" s="71"/>
      <c r="J1497" s="71"/>
    </row>
    <row r="1498" spans="4:10">
      <c r="D1498" s="71"/>
      <c r="E1498" s="71"/>
      <c r="F1498" s="71"/>
      <c r="G1498" s="71"/>
      <c r="H1498" s="71"/>
      <c r="I1498" s="71"/>
      <c r="J1498" s="71"/>
    </row>
    <row r="1499" spans="4:10">
      <c r="D1499" s="71"/>
      <c r="E1499" s="71"/>
      <c r="F1499" s="71"/>
      <c r="G1499" s="71"/>
      <c r="H1499" s="71"/>
      <c r="I1499" s="71"/>
      <c r="J1499" s="71"/>
    </row>
    <row r="1500" spans="4:10">
      <c r="D1500" s="71"/>
      <c r="E1500" s="71"/>
      <c r="F1500" s="71"/>
      <c r="G1500" s="71"/>
      <c r="H1500" s="71"/>
      <c r="I1500" s="71"/>
      <c r="J1500" s="71"/>
    </row>
    <row r="1501" spans="4:10">
      <c r="D1501" s="71"/>
      <c r="E1501" s="71"/>
      <c r="F1501" s="71"/>
      <c r="G1501" s="71"/>
      <c r="H1501" s="71"/>
      <c r="I1501" s="71"/>
      <c r="J1501" s="71"/>
    </row>
    <row r="1502" spans="4:10">
      <c r="D1502" s="71"/>
      <c r="E1502" s="71"/>
      <c r="F1502" s="71"/>
      <c r="G1502" s="71"/>
      <c r="H1502" s="71"/>
      <c r="I1502" s="71"/>
      <c r="J1502" s="71"/>
    </row>
    <row r="1503" spans="4:10">
      <c r="D1503" s="71"/>
      <c r="E1503" s="71"/>
      <c r="F1503" s="71"/>
      <c r="G1503" s="71"/>
      <c r="H1503" s="71"/>
      <c r="I1503" s="71"/>
      <c r="J1503" s="71"/>
    </row>
    <row r="1504" spans="4:10">
      <c r="D1504" s="71"/>
      <c r="E1504" s="71"/>
      <c r="F1504" s="71"/>
      <c r="G1504" s="71"/>
      <c r="H1504" s="71"/>
      <c r="I1504" s="71"/>
      <c r="J1504" s="71"/>
    </row>
    <row r="1505" spans="4:10">
      <c r="D1505" s="71"/>
      <c r="E1505" s="71"/>
      <c r="F1505" s="71"/>
      <c r="G1505" s="71"/>
      <c r="H1505" s="71"/>
      <c r="I1505" s="71"/>
      <c r="J1505" s="71"/>
    </row>
    <row r="1506" spans="4:10">
      <c r="D1506" s="71"/>
      <c r="E1506" s="71"/>
      <c r="F1506" s="71"/>
      <c r="G1506" s="71"/>
      <c r="H1506" s="71"/>
      <c r="I1506" s="71"/>
      <c r="J1506" s="71"/>
    </row>
    <row r="1507" spans="4:10">
      <c r="D1507" s="71"/>
      <c r="E1507" s="71"/>
      <c r="F1507" s="71"/>
      <c r="G1507" s="71"/>
      <c r="H1507" s="71"/>
      <c r="I1507" s="71"/>
      <c r="J1507" s="71"/>
    </row>
    <row r="1508" spans="4:10">
      <c r="D1508" s="71"/>
      <c r="E1508" s="71"/>
      <c r="F1508" s="71"/>
      <c r="G1508" s="71"/>
      <c r="H1508" s="71"/>
      <c r="I1508" s="71"/>
      <c r="J1508" s="71"/>
    </row>
    <row r="1509" spans="4:10">
      <c r="D1509" s="71"/>
      <c r="E1509" s="71"/>
      <c r="F1509" s="71"/>
      <c r="G1509" s="71"/>
      <c r="H1509" s="71"/>
      <c r="I1509" s="71"/>
      <c r="J1509" s="71"/>
    </row>
    <row r="1510" spans="4:10">
      <c r="D1510" s="71"/>
      <c r="E1510" s="71"/>
      <c r="F1510" s="71"/>
      <c r="G1510" s="71"/>
      <c r="H1510" s="71"/>
      <c r="I1510" s="71"/>
      <c r="J1510" s="71"/>
    </row>
    <row r="1511" spans="4:10">
      <c r="D1511" s="71"/>
      <c r="E1511" s="71"/>
      <c r="F1511" s="71"/>
      <c r="G1511" s="71"/>
      <c r="H1511" s="71"/>
      <c r="I1511" s="71"/>
      <c r="J1511" s="71"/>
    </row>
    <row r="1512" spans="4:10">
      <c r="D1512" s="71"/>
      <c r="E1512" s="71"/>
      <c r="F1512" s="71"/>
      <c r="G1512" s="71"/>
      <c r="H1512" s="71"/>
      <c r="I1512" s="71"/>
      <c r="J1512" s="71"/>
    </row>
    <row r="1513" spans="4:10">
      <c r="D1513" s="71"/>
      <c r="E1513" s="71"/>
      <c r="F1513" s="71"/>
      <c r="G1513" s="71"/>
      <c r="H1513" s="71"/>
      <c r="I1513" s="71"/>
      <c r="J1513" s="71"/>
    </row>
    <row r="1514" spans="4:10">
      <c r="D1514" s="71"/>
      <c r="E1514" s="71"/>
      <c r="F1514" s="71"/>
      <c r="G1514" s="71"/>
      <c r="H1514" s="71"/>
      <c r="I1514" s="71"/>
      <c r="J1514" s="71"/>
    </row>
    <row r="1515" spans="4:10">
      <c r="D1515" s="71"/>
      <c r="E1515" s="71"/>
      <c r="F1515" s="71"/>
      <c r="G1515" s="71"/>
      <c r="H1515" s="71"/>
      <c r="I1515" s="71"/>
      <c r="J1515" s="71"/>
    </row>
    <row r="1516" spans="4:10">
      <c r="D1516" s="71"/>
      <c r="E1516" s="71"/>
      <c r="F1516" s="71"/>
      <c r="G1516" s="71"/>
      <c r="H1516" s="71"/>
      <c r="I1516" s="71"/>
      <c r="J1516" s="71"/>
    </row>
    <row r="1517" spans="4:10">
      <c r="D1517" s="71"/>
      <c r="E1517" s="71"/>
      <c r="F1517" s="71"/>
      <c r="G1517" s="71"/>
      <c r="H1517" s="71"/>
      <c r="I1517" s="71"/>
      <c r="J1517" s="71"/>
    </row>
    <row r="1518" spans="4:10">
      <c r="D1518" s="71"/>
      <c r="E1518" s="71"/>
      <c r="F1518" s="71"/>
      <c r="G1518" s="71"/>
      <c r="H1518" s="71"/>
      <c r="I1518" s="71"/>
      <c r="J1518" s="71"/>
    </row>
    <row r="1519" spans="4:10">
      <c r="D1519" s="71"/>
      <c r="E1519" s="71"/>
      <c r="F1519" s="71"/>
      <c r="G1519" s="71"/>
      <c r="H1519" s="71"/>
      <c r="I1519" s="71"/>
      <c r="J1519" s="71"/>
    </row>
    <row r="1520" spans="4:10">
      <c r="D1520" s="71"/>
      <c r="E1520" s="71"/>
      <c r="F1520" s="71"/>
      <c r="G1520" s="71"/>
      <c r="H1520" s="71"/>
      <c r="I1520" s="71"/>
      <c r="J1520" s="71"/>
    </row>
    <row r="1521" spans="4:10">
      <c r="D1521" s="71"/>
      <c r="E1521" s="71"/>
      <c r="F1521" s="71"/>
      <c r="G1521" s="71"/>
      <c r="H1521" s="71"/>
      <c r="I1521" s="71"/>
      <c r="J1521" s="71"/>
    </row>
    <row r="1522" spans="4:10">
      <c r="D1522" s="71"/>
      <c r="E1522" s="71"/>
      <c r="F1522" s="71"/>
      <c r="G1522" s="71"/>
      <c r="H1522" s="71"/>
      <c r="I1522" s="71"/>
      <c r="J1522" s="71"/>
    </row>
    <row r="1523" spans="4:10">
      <c r="D1523" s="71"/>
      <c r="E1523" s="71"/>
      <c r="F1523" s="71"/>
      <c r="G1523" s="71"/>
      <c r="H1523" s="71"/>
      <c r="I1523" s="71"/>
      <c r="J1523" s="71"/>
    </row>
    <row r="1524" spans="4:10">
      <c r="D1524" s="71"/>
      <c r="E1524" s="71"/>
      <c r="F1524" s="71"/>
      <c r="G1524" s="71"/>
      <c r="H1524" s="71"/>
      <c r="I1524" s="71"/>
      <c r="J1524" s="71"/>
    </row>
    <row r="1525" spans="4:10">
      <c r="D1525" s="71"/>
      <c r="E1525" s="71"/>
      <c r="F1525" s="71"/>
      <c r="G1525" s="71"/>
      <c r="H1525" s="71"/>
      <c r="I1525" s="71"/>
      <c r="J1525" s="71"/>
    </row>
    <row r="1526" spans="4:10">
      <c r="D1526" s="71"/>
      <c r="E1526" s="71"/>
      <c r="F1526" s="71"/>
      <c r="G1526" s="71"/>
      <c r="H1526" s="71"/>
      <c r="I1526" s="71"/>
      <c r="J1526" s="71"/>
    </row>
    <row r="1527" spans="4:10">
      <c r="D1527" s="71"/>
      <c r="E1527" s="71"/>
      <c r="F1527" s="71"/>
      <c r="G1527" s="71"/>
      <c r="H1527" s="71"/>
      <c r="I1527" s="71"/>
      <c r="J1527" s="71"/>
    </row>
    <row r="1528" spans="4:10">
      <c r="D1528" s="71"/>
      <c r="E1528" s="71"/>
      <c r="F1528" s="71"/>
      <c r="G1528" s="71"/>
      <c r="H1528" s="71"/>
      <c r="I1528" s="71"/>
      <c r="J1528" s="71"/>
    </row>
    <row r="1529" spans="4:10">
      <c r="D1529" s="71"/>
      <c r="E1529" s="71"/>
      <c r="F1529" s="71"/>
      <c r="G1529" s="71"/>
      <c r="H1529" s="71"/>
      <c r="I1529" s="71"/>
      <c r="J1529" s="71"/>
    </row>
    <row r="1530" spans="4:10">
      <c r="D1530" s="71"/>
      <c r="E1530" s="71"/>
      <c r="F1530" s="71"/>
      <c r="G1530" s="71"/>
      <c r="H1530" s="71"/>
      <c r="I1530" s="71"/>
      <c r="J1530" s="71"/>
    </row>
    <row r="1531" spans="4:10">
      <c r="D1531" s="71"/>
      <c r="E1531" s="71"/>
      <c r="F1531" s="71"/>
      <c r="G1531" s="71"/>
      <c r="H1531" s="71"/>
      <c r="I1531" s="71"/>
      <c r="J1531" s="71"/>
    </row>
    <row r="1532" spans="4:10">
      <c r="D1532" s="71"/>
      <c r="E1532" s="71"/>
      <c r="F1532" s="71"/>
      <c r="G1532" s="71"/>
      <c r="H1532" s="71"/>
      <c r="I1532" s="71"/>
      <c r="J1532" s="71"/>
    </row>
    <row r="1533" spans="4:10">
      <c r="D1533" s="71"/>
      <c r="E1533" s="71"/>
      <c r="F1533" s="71"/>
      <c r="G1533" s="71"/>
      <c r="H1533" s="71"/>
      <c r="I1533" s="71"/>
      <c r="J1533" s="71"/>
    </row>
    <row r="1534" spans="4:10">
      <c r="D1534" s="71"/>
      <c r="E1534" s="71"/>
      <c r="F1534" s="71"/>
      <c r="G1534" s="71"/>
      <c r="H1534" s="71"/>
      <c r="I1534" s="71"/>
      <c r="J1534" s="71"/>
    </row>
    <row r="1535" spans="4:10">
      <c r="D1535" s="71"/>
      <c r="E1535" s="71"/>
      <c r="F1535" s="71"/>
      <c r="G1535" s="71"/>
      <c r="H1535" s="71"/>
      <c r="I1535" s="71"/>
      <c r="J1535" s="71"/>
    </row>
    <row r="1536" spans="4:10">
      <c r="D1536" s="71"/>
      <c r="E1536" s="71"/>
      <c r="F1536" s="71"/>
      <c r="G1536" s="71"/>
      <c r="H1536" s="71"/>
      <c r="I1536" s="71"/>
      <c r="J1536" s="71"/>
    </row>
    <row r="1537" spans="4:10">
      <c r="D1537" s="71"/>
      <c r="E1537" s="71"/>
      <c r="F1537" s="71"/>
      <c r="G1537" s="71"/>
      <c r="H1537" s="71"/>
      <c r="I1537" s="71"/>
      <c r="J1537" s="71"/>
    </row>
    <row r="1538" spans="4:10">
      <c r="D1538" s="71"/>
      <c r="E1538" s="71"/>
      <c r="F1538" s="71"/>
      <c r="G1538" s="71"/>
      <c r="H1538" s="71"/>
      <c r="I1538" s="71"/>
      <c r="J1538" s="71"/>
    </row>
    <row r="1539" spans="4:10">
      <c r="D1539" s="71"/>
      <c r="E1539" s="71"/>
      <c r="F1539" s="71"/>
      <c r="G1539" s="71"/>
      <c r="H1539" s="71"/>
      <c r="I1539" s="71"/>
      <c r="J1539" s="71"/>
    </row>
    <row r="1540" spans="4:10">
      <c r="D1540" s="71"/>
      <c r="E1540" s="71"/>
      <c r="F1540" s="71"/>
      <c r="G1540" s="71"/>
      <c r="H1540" s="71"/>
      <c r="I1540" s="71"/>
      <c r="J1540" s="71"/>
    </row>
    <row r="1541" spans="4:10">
      <c r="D1541" s="71"/>
      <c r="E1541" s="71"/>
      <c r="F1541" s="71"/>
      <c r="G1541" s="71"/>
      <c r="H1541" s="71"/>
      <c r="I1541" s="71"/>
      <c r="J1541" s="71"/>
    </row>
    <row r="1542" spans="4:10">
      <c r="D1542" s="71"/>
      <c r="E1542" s="71"/>
      <c r="F1542" s="71"/>
      <c r="G1542" s="71"/>
      <c r="H1542" s="71"/>
      <c r="I1542" s="71"/>
      <c r="J1542" s="71"/>
    </row>
    <row r="1543" spans="4:10">
      <c r="D1543" s="71"/>
      <c r="E1543" s="71"/>
      <c r="F1543" s="71"/>
      <c r="G1543" s="71"/>
      <c r="H1543" s="71"/>
      <c r="I1543" s="71"/>
      <c r="J1543" s="71"/>
    </row>
    <row r="1544" spans="4:10">
      <c r="D1544" s="71"/>
      <c r="E1544" s="71"/>
      <c r="F1544" s="71"/>
      <c r="G1544" s="71"/>
      <c r="H1544" s="71"/>
      <c r="I1544" s="71"/>
      <c r="J1544" s="71"/>
    </row>
    <row r="1545" spans="4:10">
      <c r="D1545" s="71"/>
      <c r="E1545" s="71"/>
      <c r="F1545" s="71"/>
      <c r="G1545" s="71"/>
      <c r="H1545" s="71"/>
      <c r="I1545" s="71"/>
      <c r="J1545" s="71"/>
    </row>
    <row r="1546" spans="4:10">
      <c r="D1546" s="71"/>
      <c r="E1546" s="71"/>
      <c r="F1546" s="71"/>
      <c r="G1546" s="71"/>
      <c r="H1546" s="71"/>
      <c r="I1546" s="71"/>
      <c r="J1546" s="71"/>
    </row>
    <row r="1547" spans="4:10">
      <c r="D1547" s="71"/>
      <c r="E1547" s="71"/>
      <c r="F1547" s="71"/>
      <c r="G1547" s="71"/>
      <c r="H1547" s="71"/>
      <c r="I1547" s="71"/>
      <c r="J1547" s="71"/>
    </row>
    <row r="1548" spans="4:10">
      <c r="D1548" s="71"/>
      <c r="E1548" s="71"/>
      <c r="F1548" s="71"/>
      <c r="G1548" s="71"/>
      <c r="H1548" s="71"/>
      <c r="I1548" s="71"/>
      <c r="J1548" s="71"/>
    </row>
    <row r="1549" spans="4:10">
      <c r="D1549" s="71"/>
      <c r="E1549" s="71"/>
      <c r="F1549" s="71"/>
      <c r="G1549" s="71"/>
      <c r="H1549" s="71"/>
      <c r="I1549" s="71"/>
      <c r="J1549" s="71"/>
    </row>
    <row r="1550" spans="4:10">
      <c r="D1550" s="71"/>
      <c r="E1550" s="71"/>
      <c r="F1550" s="71"/>
      <c r="G1550" s="71"/>
      <c r="H1550" s="71"/>
      <c r="I1550" s="71"/>
      <c r="J1550" s="71"/>
    </row>
    <row r="1551" spans="4:10">
      <c r="D1551" s="71"/>
      <c r="E1551" s="71"/>
      <c r="F1551" s="71"/>
      <c r="G1551" s="71"/>
      <c r="H1551" s="71"/>
      <c r="I1551" s="71"/>
      <c r="J1551" s="71"/>
    </row>
    <row r="1552" spans="4:10">
      <c r="D1552" s="71"/>
      <c r="E1552" s="71"/>
      <c r="F1552" s="71"/>
      <c r="G1552" s="71"/>
      <c r="H1552" s="71"/>
      <c r="I1552" s="71"/>
      <c r="J1552" s="71"/>
    </row>
    <row r="1553" spans="4:10">
      <c r="D1553" s="71"/>
      <c r="E1553" s="71"/>
      <c r="F1553" s="71"/>
      <c r="G1553" s="71"/>
      <c r="H1553" s="71"/>
      <c r="I1553" s="71"/>
      <c r="J1553" s="71"/>
    </row>
    <row r="1554" spans="4:10">
      <c r="D1554" s="71"/>
      <c r="E1554" s="71"/>
      <c r="F1554" s="71"/>
      <c r="G1554" s="71"/>
      <c r="H1554" s="71"/>
      <c r="I1554" s="71"/>
      <c r="J1554" s="71"/>
    </row>
    <row r="1555" spans="4:10">
      <c r="D1555" s="71"/>
      <c r="E1555" s="71"/>
      <c r="F1555" s="71"/>
      <c r="G1555" s="71"/>
      <c r="H1555" s="71"/>
      <c r="I1555" s="71"/>
      <c r="J1555" s="71"/>
    </row>
    <row r="1556" spans="4:10">
      <c r="D1556" s="71"/>
      <c r="E1556" s="71"/>
      <c r="F1556" s="71"/>
      <c r="G1556" s="71"/>
      <c r="H1556" s="71"/>
      <c r="I1556" s="71"/>
      <c r="J1556" s="71"/>
    </row>
    <row r="1557" spans="4:10">
      <c r="D1557" s="71"/>
      <c r="E1557" s="71"/>
      <c r="F1557" s="71"/>
      <c r="G1557" s="71"/>
      <c r="H1557" s="71"/>
      <c r="I1557" s="71"/>
      <c r="J1557" s="71"/>
    </row>
    <row r="1558" spans="4:10">
      <c r="D1558" s="71"/>
      <c r="E1558" s="71"/>
      <c r="F1558" s="71"/>
      <c r="G1558" s="71"/>
      <c r="H1558" s="71"/>
      <c r="I1558" s="71"/>
      <c r="J1558" s="71"/>
    </row>
    <row r="1559" spans="4:10">
      <c r="D1559" s="71"/>
      <c r="E1559" s="71"/>
      <c r="F1559" s="71"/>
      <c r="G1559" s="71"/>
      <c r="H1559" s="71"/>
      <c r="I1559" s="71"/>
      <c r="J1559" s="71"/>
    </row>
    <row r="1560" spans="4:10">
      <c r="D1560" s="71"/>
      <c r="E1560" s="71"/>
      <c r="F1560" s="71"/>
      <c r="G1560" s="71"/>
      <c r="H1560" s="71"/>
      <c r="I1560" s="71"/>
      <c r="J1560" s="71"/>
    </row>
    <row r="1561" spans="4:10">
      <c r="D1561" s="71"/>
      <c r="E1561" s="71"/>
      <c r="F1561" s="71"/>
      <c r="G1561" s="71"/>
      <c r="H1561" s="71"/>
      <c r="I1561" s="71"/>
      <c r="J1561" s="71"/>
    </row>
    <row r="1562" spans="4:10">
      <c r="D1562" s="71"/>
      <c r="E1562" s="71"/>
      <c r="F1562" s="71"/>
      <c r="G1562" s="71"/>
      <c r="H1562" s="71"/>
      <c r="I1562" s="71"/>
      <c r="J1562" s="71"/>
    </row>
    <row r="1563" spans="4:10">
      <c r="D1563" s="71"/>
      <c r="E1563" s="71"/>
      <c r="F1563" s="71"/>
      <c r="G1563" s="71"/>
      <c r="H1563" s="71"/>
      <c r="I1563" s="71"/>
      <c r="J1563" s="71"/>
    </row>
    <row r="1564" spans="4:10">
      <c r="D1564" s="71"/>
      <c r="E1564" s="71"/>
      <c r="F1564" s="71"/>
      <c r="G1564" s="71"/>
      <c r="H1564" s="71"/>
      <c r="I1564" s="71"/>
      <c r="J1564" s="71"/>
    </row>
    <row r="1565" spans="4:10">
      <c r="D1565" s="71"/>
      <c r="E1565" s="71"/>
      <c r="F1565" s="71"/>
      <c r="G1565" s="71"/>
      <c r="H1565" s="71"/>
      <c r="I1565" s="71"/>
      <c r="J1565" s="71"/>
    </row>
    <row r="1566" spans="4:10">
      <c r="D1566" s="71"/>
      <c r="E1566" s="71"/>
      <c r="F1566" s="71"/>
      <c r="G1566" s="71"/>
      <c r="H1566" s="71"/>
      <c r="I1566" s="71"/>
      <c r="J1566" s="71"/>
    </row>
    <row r="1567" spans="4:10">
      <c r="D1567" s="71"/>
      <c r="E1567" s="71"/>
      <c r="F1567" s="71"/>
      <c r="G1567" s="71"/>
      <c r="H1567" s="71"/>
      <c r="I1567" s="71"/>
      <c r="J1567" s="71"/>
    </row>
    <row r="1568" spans="4:10">
      <c r="D1568" s="71"/>
      <c r="E1568" s="71"/>
      <c r="F1568" s="71"/>
      <c r="G1568" s="71"/>
      <c r="H1568" s="71"/>
      <c r="I1568" s="71"/>
      <c r="J1568" s="71"/>
    </row>
    <row r="1569" spans="4:10">
      <c r="D1569" s="71"/>
      <c r="E1569" s="71"/>
      <c r="F1569" s="71"/>
      <c r="G1569" s="71"/>
      <c r="H1569" s="71"/>
      <c r="I1569" s="71"/>
      <c r="J1569" s="71"/>
    </row>
    <row r="1570" spans="4:10">
      <c r="D1570" s="71"/>
      <c r="E1570" s="71"/>
      <c r="F1570" s="71"/>
      <c r="G1570" s="71"/>
      <c r="H1570" s="71"/>
      <c r="I1570" s="71"/>
      <c r="J1570" s="71"/>
    </row>
    <row r="1571" spans="4:10">
      <c r="D1571" s="71"/>
      <c r="E1571" s="71"/>
      <c r="F1571" s="71"/>
      <c r="G1571" s="71"/>
      <c r="H1571" s="71"/>
      <c r="I1571" s="71"/>
      <c r="J1571" s="71"/>
    </row>
    <row r="1572" spans="4:10">
      <c r="D1572" s="71"/>
      <c r="E1572" s="71"/>
      <c r="F1572" s="71"/>
      <c r="G1572" s="71"/>
      <c r="H1572" s="71"/>
      <c r="I1572" s="71"/>
      <c r="J1572" s="71"/>
    </row>
    <row r="1573" spans="4:10">
      <c r="D1573" s="71"/>
      <c r="E1573" s="71"/>
      <c r="F1573" s="71"/>
      <c r="G1573" s="71"/>
      <c r="H1573" s="71"/>
      <c r="I1573" s="71"/>
      <c r="J1573" s="71"/>
    </row>
    <row r="1574" spans="4:10">
      <c r="D1574" s="71"/>
      <c r="E1574" s="71"/>
      <c r="F1574" s="71"/>
      <c r="G1574" s="71"/>
      <c r="H1574" s="71"/>
      <c r="I1574" s="71"/>
      <c r="J1574" s="71"/>
    </row>
    <row r="1575" spans="4:10">
      <c r="D1575" s="71"/>
      <c r="E1575" s="71"/>
      <c r="F1575" s="71"/>
      <c r="G1575" s="71"/>
      <c r="H1575" s="71"/>
      <c r="I1575" s="71"/>
      <c r="J1575" s="71"/>
    </row>
    <row r="1576" spans="4:10">
      <c r="D1576" s="71"/>
      <c r="E1576" s="71"/>
      <c r="F1576" s="71"/>
      <c r="G1576" s="71"/>
      <c r="H1576" s="71"/>
      <c r="I1576" s="71"/>
      <c r="J1576" s="71"/>
    </row>
    <row r="1577" spans="4:10">
      <c r="D1577" s="71"/>
      <c r="E1577" s="71"/>
      <c r="F1577" s="71"/>
      <c r="G1577" s="71"/>
      <c r="H1577" s="71"/>
      <c r="I1577" s="71"/>
      <c r="J1577" s="71"/>
    </row>
    <row r="1578" spans="4:10">
      <c r="D1578" s="71"/>
      <c r="E1578" s="71"/>
      <c r="F1578" s="71"/>
      <c r="G1578" s="71"/>
      <c r="H1578" s="71"/>
      <c r="I1578" s="71"/>
      <c r="J1578" s="71"/>
    </row>
    <row r="1579" spans="4:10">
      <c r="D1579" s="71"/>
      <c r="E1579" s="71"/>
      <c r="F1579" s="71"/>
      <c r="G1579" s="71"/>
      <c r="H1579" s="71"/>
      <c r="I1579" s="71"/>
      <c r="J1579" s="71"/>
    </row>
    <row r="1580" spans="4:10">
      <c r="D1580" s="71"/>
      <c r="E1580" s="71"/>
      <c r="F1580" s="71"/>
      <c r="G1580" s="71"/>
      <c r="H1580" s="71"/>
      <c r="I1580" s="71"/>
      <c r="J1580" s="71"/>
    </row>
    <row r="1581" spans="4:10">
      <c r="D1581" s="71"/>
      <c r="E1581" s="71"/>
      <c r="F1581" s="71"/>
      <c r="G1581" s="71"/>
      <c r="H1581" s="71"/>
      <c r="I1581" s="71"/>
      <c r="J1581" s="71"/>
    </row>
    <row r="1582" spans="4:10">
      <c r="D1582" s="71"/>
      <c r="E1582" s="71"/>
      <c r="F1582" s="71"/>
      <c r="G1582" s="71"/>
      <c r="H1582" s="71"/>
      <c r="I1582" s="71"/>
      <c r="J1582" s="71"/>
    </row>
    <row r="1583" spans="4:10">
      <c r="D1583" s="71"/>
      <c r="E1583" s="71"/>
      <c r="F1583" s="71"/>
      <c r="G1583" s="71"/>
      <c r="H1583" s="71"/>
      <c r="I1583" s="71"/>
      <c r="J1583" s="71"/>
    </row>
    <row r="1584" spans="4:10">
      <c r="D1584" s="71"/>
      <c r="E1584" s="71"/>
      <c r="F1584" s="71"/>
      <c r="G1584" s="71"/>
      <c r="H1584" s="71"/>
      <c r="I1584" s="71"/>
      <c r="J1584" s="71"/>
    </row>
    <row r="1585" spans="4:10">
      <c r="D1585" s="71"/>
      <c r="E1585" s="71"/>
      <c r="F1585" s="71"/>
      <c r="G1585" s="71"/>
      <c r="H1585" s="71"/>
      <c r="I1585" s="71"/>
      <c r="J1585" s="71"/>
    </row>
    <row r="1586" spans="4:10">
      <c r="D1586" s="71"/>
      <c r="E1586" s="71"/>
      <c r="F1586" s="71"/>
      <c r="G1586" s="71"/>
      <c r="H1586" s="71"/>
      <c r="I1586" s="71"/>
      <c r="J1586" s="71"/>
    </row>
    <row r="1587" spans="4:10">
      <c r="D1587" s="71"/>
      <c r="E1587" s="71"/>
      <c r="F1587" s="71"/>
      <c r="G1587" s="71"/>
      <c r="H1587" s="71"/>
      <c r="I1587" s="71"/>
      <c r="J1587" s="71"/>
    </row>
    <row r="1588" spans="4:10">
      <c r="D1588" s="71"/>
      <c r="E1588" s="71"/>
      <c r="F1588" s="71"/>
      <c r="G1588" s="71"/>
      <c r="H1588" s="71"/>
      <c r="I1588" s="71"/>
      <c r="J1588" s="71"/>
    </row>
    <row r="1589" spans="4:10">
      <c r="D1589" s="71"/>
      <c r="E1589" s="71"/>
      <c r="F1589" s="71"/>
      <c r="G1589" s="71"/>
      <c r="H1589" s="71"/>
      <c r="I1589" s="71"/>
      <c r="J1589" s="71"/>
    </row>
    <row r="1590" spans="4:10">
      <c r="D1590" s="71"/>
      <c r="E1590" s="71"/>
      <c r="F1590" s="71"/>
      <c r="G1590" s="71"/>
      <c r="H1590" s="71"/>
      <c r="I1590" s="71"/>
      <c r="J1590" s="71"/>
    </row>
    <row r="1591" spans="4:10">
      <c r="D1591" s="71"/>
      <c r="E1591" s="71"/>
      <c r="F1591" s="71"/>
      <c r="G1591" s="71"/>
      <c r="H1591" s="71"/>
      <c r="I1591" s="71"/>
      <c r="J1591" s="71"/>
    </row>
    <row r="1592" spans="4:10">
      <c r="D1592" s="71"/>
      <c r="E1592" s="71"/>
      <c r="F1592" s="71"/>
      <c r="G1592" s="71"/>
      <c r="H1592" s="71"/>
      <c r="I1592" s="71"/>
      <c r="J1592" s="71"/>
    </row>
    <row r="1593" spans="4:10">
      <c r="D1593" s="71"/>
      <c r="E1593" s="71"/>
      <c r="F1593" s="71"/>
      <c r="G1593" s="71"/>
      <c r="H1593" s="71"/>
      <c r="I1593" s="71"/>
      <c r="J1593" s="71"/>
    </row>
    <row r="1594" spans="4:10">
      <c r="D1594" s="71"/>
      <c r="E1594" s="71"/>
      <c r="F1594" s="71"/>
      <c r="G1594" s="71"/>
      <c r="H1594" s="71"/>
      <c r="I1594" s="71"/>
      <c r="J1594" s="71"/>
    </row>
    <row r="1595" spans="4:10">
      <c r="D1595" s="71"/>
      <c r="E1595" s="71"/>
      <c r="F1595" s="71"/>
      <c r="G1595" s="71"/>
      <c r="H1595" s="71"/>
      <c r="I1595" s="71"/>
      <c r="J1595" s="71"/>
    </row>
    <row r="1596" spans="4:10">
      <c r="D1596" s="71"/>
      <c r="E1596" s="71"/>
      <c r="F1596" s="71"/>
      <c r="G1596" s="71"/>
      <c r="H1596" s="71"/>
      <c r="I1596" s="71"/>
      <c r="J1596" s="71"/>
    </row>
    <row r="1597" spans="4:10">
      <c r="D1597" s="71"/>
      <c r="E1597" s="71"/>
      <c r="F1597" s="71"/>
      <c r="G1597" s="71"/>
      <c r="H1597" s="71"/>
      <c r="I1597" s="71"/>
      <c r="J1597" s="71"/>
    </row>
    <row r="1598" spans="4:10">
      <c r="D1598" s="71"/>
      <c r="E1598" s="71"/>
      <c r="F1598" s="71"/>
      <c r="G1598" s="71"/>
      <c r="H1598" s="71"/>
      <c r="I1598" s="71"/>
      <c r="J1598" s="71"/>
    </row>
    <row r="1599" spans="4:10">
      <c r="D1599" s="71"/>
      <c r="E1599" s="71"/>
      <c r="F1599" s="71"/>
      <c r="G1599" s="71"/>
      <c r="H1599" s="71"/>
      <c r="I1599" s="71"/>
      <c r="J1599" s="71"/>
    </row>
    <row r="1600" spans="4:10">
      <c r="D1600" s="71"/>
      <c r="E1600" s="71"/>
      <c r="F1600" s="71"/>
      <c r="G1600" s="71"/>
      <c r="H1600" s="71"/>
      <c r="I1600" s="71"/>
      <c r="J1600" s="71"/>
    </row>
    <row r="1601" spans="4:10">
      <c r="D1601" s="71"/>
      <c r="E1601" s="71"/>
      <c r="F1601" s="71"/>
      <c r="G1601" s="71"/>
      <c r="H1601" s="71"/>
      <c r="I1601" s="71"/>
      <c r="J1601" s="71"/>
    </row>
    <row r="1602" spans="4:10">
      <c r="D1602" s="71"/>
      <c r="E1602" s="71"/>
      <c r="F1602" s="71"/>
      <c r="G1602" s="71"/>
      <c r="H1602" s="71"/>
      <c r="I1602" s="71"/>
      <c r="J1602" s="71"/>
    </row>
    <row r="1603" spans="4:10">
      <c r="D1603" s="71"/>
      <c r="E1603" s="71"/>
      <c r="F1603" s="71"/>
      <c r="G1603" s="71"/>
      <c r="H1603" s="71"/>
      <c r="I1603" s="71"/>
      <c r="J1603" s="71"/>
    </row>
    <row r="1604" spans="4:10">
      <c r="D1604" s="71"/>
      <c r="E1604" s="71"/>
      <c r="F1604" s="71"/>
      <c r="G1604" s="71"/>
      <c r="H1604" s="71"/>
      <c r="I1604" s="71"/>
      <c r="J1604" s="71"/>
    </row>
    <row r="1605" spans="4:10">
      <c r="D1605" s="71"/>
      <c r="E1605" s="71"/>
      <c r="F1605" s="71"/>
      <c r="G1605" s="71"/>
      <c r="H1605" s="71"/>
      <c r="I1605" s="71"/>
      <c r="J1605" s="71"/>
    </row>
    <row r="1606" spans="4:10">
      <c r="D1606" s="71"/>
      <c r="E1606" s="71"/>
      <c r="F1606" s="71"/>
      <c r="G1606" s="71"/>
      <c r="H1606" s="71"/>
      <c r="I1606" s="71"/>
      <c r="J1606" s="71"/>
    </row>
    <row r="1607" spans="4:10">
      <c r="D1607" s="71"/>
      <c r="E1607" s="71"/>
      <c r="F1607" s="71"/>
      <c r="G1607" s="71"/>
      <c r="H1607" s="71"/>
      <c r="I1607" s="71"/>
      <c r="J1607" s="71"/>
    </row>
    <row r="1608" spans="4:10">
      <c r="D1608" s="71"/>
      <c r="E1608" s="71"/>
      <c r="F1608" s="71"/>
      <c r="G1608" s="71"/>
      <c r="H1608" s="71"/>
      <c r="I1608" s="71"/>
      <c r="J1608" s="71"/>
    </row>
    <row r="1609" spans="4:10">
      <c r="D1609" s="71"/>
      <c r="E1609" s="71"/>
      <c r="F1609" s="71"/>
      <c r="G1609" s="71"/>
      <c r="H1609" s="71"/>
      <c r="I1609" s="71"/>
      <c r="J1609" s="71"/>
    </row>
    <row r="1610" spans="4:10">
      <c r="D1610" s="71"/>
      <c r="E1610" s="71"/>
      <c r="F1610" s="71"/>
      <c r="G1610" s="71"/>
      <c r="H1610" s="71"/>
      <c r="I1610" s="71"/>
      <c r="J1610" s="71"/>
    </row>
    <row r="1611" spans="4:10">
      <c r="D1611" s="71"/>
      <c r="E1611" s="71"/>
      <c r="F1611" s="71"/>
      <c r="G1611" s="71"/>
      <c r="H1611" s="71"/>
      <c r="I1611" s="71"/>
      <c r="J1611" s="71"/>
    </row>
    <row r="1612" spans="4:10">
      <c r="D1612" s="71"/>
      <c r="E1612" s="71"/>
      <c r="F1612" s="71"/>
      <c r="G1612" s="71"/>
      <c r="H1612" s="71"/>
      <c r="I1612" s="71"/>
      <c r="J1612" s="71"/>
    </row>
    <row r="1613" spans="4:10">
      <c r="D1613" s="71"/>
      <c r="E1613" s="71"/>
      <c r="F1613" s="71"/>
      <c r="G1613" s="71"/>
      <c r="H1613" s="71"/>
      <c r="I1613" s="71"/>
      <c r="J1613" s="71"/>
    </row>
    <row r="1614" spans="4:10">
      <c r="D1614" s="71"/>
      <c r="E1614" s="71"/>
      <c r="F1614" s="71"/>
      <c r="G1614" s="71"/>
      <c r="H1614" s="71"/>
      <c r="I1614" s="71"/>
      <c r="J1614" s="71"/>
    </row>
    <row r="1615" spans="4:10">
      <c r="D1615" s="71"/>
      <c r="E1615" s="71"/>
      <c r="F1615" s="71"/>
      <c r="G1615" s="71"/>
      <c r="H1615" s="71"/>
      <c r="I1615" s="71"/>
      <c r="J1615" s="71"/>
    </row>
    <row r="1616" spans="4:10">
      <c r="D1616" s="71"/>
      <c r="E1616" s="71"/>
      <c r="F1616" s="71"/>
      <c r="G1616" s="71"/>
      <c r="H1616" s="71"/>
      <c r="I1616" s="71"/>
      <c r="J1616" s="71"/>
    </row>
    <row r="1617" spans="4:10">
      <c r="D1617" s="71"/>
      <c r="E1617" s="71"/>
      <c r="F1617" s="71"/>
      <c r="G1617" s="71"/>
      <c r="H1617" s="71"/>
      <c r="I1617" s="71"/>
      <c r="J1617" s="71"/>
    </row>
    <row r="1618" spans="4:10">
      <c r="D1618" s="71"/>
      <c r="E1618" s="71"/>
      <c r="F1618" s="71"/>
      <c r="G1618" s="71"/>
      <c r="H1618" s="71"/>
      <c r="I1618" s="71"/>
      <c r="J1618" s="71"/>
    </row>
    <row r="1619" spans="4:10">
      <c r="D1619" s="71"/>
      <c r="E1619" s="71"/>
      <c r="F1619" s="71"/>
      <c r="G1619" s="71"/>
      <c r="H1619" s="71"/>
      <c r="I1619" s="71"/>
      <c r="J1619" s="71"/>
    </row>
    <row r="1620" spans="4:10">
      <c r="D1620" s="71"/>
      <c r="E1620" s="71"/>
      <c r="F1620" s="71"/>
      <c r="G1620" s="71"/>
      <c r="H1620" s="71"/>
      <c r="I1620" s="71"/>
      <c r="J1620" s="71"/>
    </row>
    <row r="1621" spans="4:10">
      <c r="D1621" s="71"/>
      <c r="E1621" s="71"/>
      <c r="F1621" s="71"/>
      <c r="G1621" s="71"/>
      <c r="H1621" s="71"/>
      <c r="I1621" s="71"/>
      <c r="J1621" s="71"/>
    </row>
    <row r="1622" spans="4:10">
      <c r="D1622" s="71"/>
      <c r="E1622" s="71"/>
      <c r="F1622" s="71"/>
      <c r="G1622" s="71"/>
      <c r="H1622" s="71"/>
      <c r="I1622" s="71"/>
      <c r="J1622" s="71"/>
    </row>
    <row r="1623" spans="4:10">
      <c r="D1623" s="71"/>
      <c r="E1623" s="71"/>
      <c r="F1623" s="71"/>
      <c r="G1623" s="71"/>
      <c r="H1623" s="71"/>
      <c r="I1623" s="71"/>
      <c r="J1623" s="71"/>
    </row>
    <row r="1624" spans="4:10">
      <c r="D1624" s="71"/>
      <c r="E1624" s="71"/>
      <c r="F1624" s="71"/>
      <c r="G1624" s="71"/>
      <c r="H1624" s="71"/>
      <c r="I1624" s="71"/>
      <c r="J1624" s="71"/>
    </row>
    <row r="1625" spans="4:10">
      <c r="D1625" s="71"/>
      <c r="E1625" s="71"/>
      <c r="F1625" s="71"/>
      <c r="G1625" s="71"/>
      <c r="H1625" s="71"/>
      <c r="I1625" s="71"/>
      <c r="J1625" s="71"/>
    </row>
    <row r="1626" spans="4:10">
      <c r="D1626" s="71"/>
      <c r="E1626" s="71"/>
      <c r="F1626" s="71"/>
      <c r="G1626" s="71"/>
      <c r="H1626" s="71"/>
      <c r="I1626" s="71"/>
      <c r="J1626" s="71"/>
    </row>
    <row r="1627" spans="4:10">
      <c r="D1627" s="71"/>
      <c r="E1627" s="71"/>
      <c r="F1627" s="71"/>
      <c r="G1627" s="71"/>
      <c r="H1627" s="71"/>
      <c r="I1627" s="71"/>
      <c r="J1627" s="71"/>
    </row>
    <row r="1628" spans="4:10">
      <c r="D1628" s="71"/>
      <c r="E1628" s="71"/>
      <c r="F1628" s="71"/>
      <c r="G1628" s="71"/>
      <c r="H1628" s="71"/>
      <c r="I1628" s="71"/>
      <c r="J1628" s="71"/>
    </row>
    <row r="1629" spans="4:10">
      <c r="D1629" s="71"/>
      <c r="E1629" s="71"/>
      <c r="F1629" s="71"/>
      <c r="G1629" s="71"/>
      <c r="H1629" s="71"/>
      <c r="I1629" s="71"/>
      <c r="J1629" s="71"/>
    </row>
    <row r="1630" spans="4:10">
      <c r="D1630" s="71"/>
      <c r="E1630" s="71"/>
      <c r="F1630" s="71"/>
      <c r="G1630" s="71"/>
      <c r="H1630" s="71"/>
      <c r="I1630" s="71"/>
      <c r="J1630" s="71"/>
    </row>
    <row r="1631" spans="4:10">
      <c r="D1631" s="71"/>
      <c r="E1631" s="71"/>
      <c r="F1631" s="71"/>
      <c r="G1631" s="71"/>
      <c r="H1631" s="71"/>
      <c r="I1631" s="71"/>
      <c r="J1631" s="71"/>
    </row>
    <row r="1632" spans="4:10">
      <c r="D1632" s="71"/>
      <c r="E1632" s="71"/>
      <c r="F1632" s="71"/>
      <c r="G1632" s="71"/>
      <c r="H1632" s="71"/>
      <c r="I1632" s="71"/>
      <c r="J1632" s="71"/>
    </row>
    <row r="1633" spans="4:10">
      <c r="D1633" s="71"/>
      <c r="E1633" s="71"/>
      <c r="F1633" s="71"/>
      <c r="G1633" s="71"/>
      <c r="H1633" s="71"/>
      <c r="I1633" s="71"/>
      <c r="J1633" s="71"/>
    </row>
    <row r="1634" spans="4:10">
      <c r="D1634" s="71"/>
      <c r="E1634" s="71"/>
      <c r="F1634" s="71"/>
      <c r="G1634" s="71"/>
      <c r="H1634" s="71"/>
      <c r="I1634" s="71"/>
      <c r="J1634" s="71"/>
    </row>
    <row r="1635" spans="4:10">
      <c r="D1635" s="71"/>
      <c r="E1635" s="71"/>
      <c r="F1635" s="71"/>
      <c r="G1635" s="71"/>
      <c r="H1635" s="71"/>
      <c r="I1635" s="71"/>
      <c r="J1635" s="71"/>
    </row>
    <row r="1636" spans="4:10">
      <c r="D1636" s="71"/>
      <c r="E1636" s="71"/>
      <c r="F1636" s="71"/>
      <c r="G1636" s="71"/>
      <c r="H1636" s="71"/>
      <c r="I1636" s="71"/>
      <c r="J1636" s="71"/>
    </row>
    <row r="1637" spans="4:10">
      <c r="D1637" s="71"/>
      <c r="E1637" s="71"/>
      <c r="F1637" s="71"/>
      <c r="G1637" s="71"/>
      <c r="H1637" s="71"/>
      <c r="I1637" s="71"/>
      <c r="J1637" s="71"/>
    </row>
    <row r="1638" spans="4:10">
      <c r="D1638" s="71"/>
      <c r="E1638" s="71"/>
      <c r="F1638" s="71"/>
      <c r="G1638" s="71"/>
      <c r="H1638" s="71"/>
      <c r="I1638" s="71"/>
      <c r="J1638" s="71"/>
    </row>
    <row r="1639" spans="4:10">
      <c r="D1639" s="71"/>
      <c r="E1639" s="71"/>
      <c r="F1639" s="71"/>
      <c r="G1639" s="71"/>
      <c r="H1639" s="71"/>
      <c r="I1639" s="71"/>
      <c r="J1639" s="71"/>
    </row>
    <row r="1640" spans="4:10">
      <c r="D1640" s="71"/>
      <c r="E1640" s="71"/>
      <c r="F1640" s="71"/>
      <c r="G1640" s="71"/>
      <c r="H1640" s="71"/>
      <c r="I1640" s="71"/>
      <c r="J1640" s="71"/>
    </row>
    <row r="1641" spans="4:10">
      <c r="D1641" s="71"/>
      <c r="E1641" s="71"/>
      <c r="F1641" s="71"/>
      <c r="G1641" s="71"/>
      <c r="H1641" s="71"/>
      <c r="I1641" s="71"/>
      <c r="J1641" s="71"/>
    </row>
    <row r="1642" spans="4:10">
      <c r="D1642" s="71"/>
      <c r="E1642" s="71"/>
      <c r="F1642" s="71"/>
      <c r="G1642" s="71"/>
      <c r="H1642" s="71"/>
      <c r="I1642" s="71"/>
      <c r="J1642" s="71"/>
    </row>
    <row r="1643" spans="4:10">
      <c r="D1643" s="71"/>
      <c r="E1643" s="71"/>
      <c r="F1643" s="71"/>
      <c r="G1643" s="71"/>
      <c r="H1643" s="71"/>
      <c r="I1643" s="71"/>
      <c r="J1643" s="71"/>
    </row>
    <row r="1644" spans="4:10">
      <c r="D1644" s="71"/>
      <c r="E1644" s="71"/>
      <c r="F1644" s="71"/>
      <c r="G1644" s="71"/>
      <c r="H1644" s="71"/>
      <c r="I1644" s="71"/>
      <c r="J1644" s="71"/>
    </row>
    <row r="1645" spans="4:10">
      <c r="D1645" s="71"/>
      <c r="E1645" s="71"/>
      <c r="F1645" s="71"/>
      <c r="G1645" s="71"/>
      <c r="H1645" s="71"/>
      <c r="I1645" s="71"/>
      <c r="J1645" s="71"/>
    </row>
    <row r="1646" spans="4:10">
      <c r="D1646" s="71"/>
      <c r="E1646" s="71"/>
      <c r="F1646" s="71"/>
      <c r="G1646" s="71"/>
      <c r="H1646" s="71"/>
      <c r="I1646" s="71"/>
      <c r="J1646" s="71"/>
    </row>
    <row r="1647" spans="4:10">
      <c r="D1647" s="71"/>
      <c r="E1647" s="71"/>
      <c r="F1647" s="71"/>
      <c r="G1647" s="71"/>
      <c r="H1647" s="71"/>
      <c r="I1647" s="71"/>
      <c r="J1647" s="71"/>
    </row>
    <row r="1648" spans="4:10">
      <c r="D1648" s="71"/>
      <c r="E1648" s="71"/>
      <c r="F1648" s="71"/>
      <c r="G1648" s="71"/>
      <c r="H1648" s="71"/>
      <c r="I1648" s="71"/>
      <c r="J1648" s="71"/>
    </row>
    <row r="1649" spans="4:10">
      <c r="D1649" s="71"/>
      <c r="E1649" s="71"/>
      <c r="F1649" s="71"/>
      <c r="G1649" s="71"/>
      <c r="H1649" s="71"/>
      <c r="I1649" s="71"/>
      <c r="J1649" s="71"/>
    </row>
    <row r="1650" spans="4:10">
      <c r="D1650" s="71"/>
      <c r="E1650" s="71"/>
      <c r="F1650" s="71"/>
      <c r="G1650" s="71"/>
      <c r="H1650" s="71"/>
      <c r="I1650" s="71"/>
      <c r="J1650" s="71"/>
    </row>
    <row r="1651" spans="4:10">
      <c r="D1651" s="71"/>
      <c r="E1651" s="71"/>
      <c r="F1651" s="71"/>
      <c r="G1651" s="71"/>
      <c r="H1651" s="71"/>
      <c r="I1651" s="71"/>
      <c r="J1651" s="71"/>
    </row>
    <row r="1652" spans="4:10">
      <c r="D1652" s="71"/>
      <c r="E1652" s="71"/>
      <c r="F1652" s="71"/>
      <c r="G1652" s="71"/>
      <c r="H1652" s="71"/>
      <c r="I1652" s="71"/>
      <c r="J1652" s="71"/>
    </row>
    <row r="1653" spans="4:10">
      <c r="D1653" s="71"/>
      <c r="E1653" s="71"/>
      <c r="F1653" s="71"/>
      <c r="G1653" s="71"/>
      <c r="H1653" s="71"/>
      <c r="I1653" s="71"/>
      <c r="J1653" s="71"/>
    </row>
    <row r="1654" spans="4:10">
      <c r="D1654" s="71"/>
      <c r="E1654" s="71"/>
      <c r="F1654" s="71"/>
      <c r="G1654" s="71"/>
      <c r="H1654" s="71"/>
      <c r="I1654" s="71"/>
      <c r="J1654" s="71"/>
    </row>
    <row r="1655" spans="4:10">
      <c r="D1655" s="71"/>
      <c r="E1655" s="71"/>
      <c r="F1655" s="71"/>
      <c r="G1655" s="71"/>
      <c r="H1655" s="71"/>
      <c r="I1655" s="71"/>
      <c r="J1655" s="71"/>
    </row>
    <row r="1656" spans="4:10">
      <c r="D1656" s="71"/>
      <c r="E1656" s="71"/>
      <c r="F1656" s="71"/>
      <c r="G1656" s="71"/>
      <c r="H1656" s="71"/>
      <c r="I1656" s="71"/>
      <c r="J1656" s="71"/>
    </row>
    <row r="1657" spans="4:10">
      <c r="D1657" s="71"/>
      <c r="E1657" s="71"/>
      <c r="F1657" s="71"/>
      <c r="G1657" s="71"/>
      <c r="H1657" s="71"/>
      <c r="I1657" s="71"/>
      <c r="J1657" s="71"/>
    </row>
    <row r="1658" spans="4:10">
      <c r="D1658" s="71"/>
      <c r="E1658" s="71"/>
      <c r="F1658" s="71"/>
      <c r="G1658" s="71"/>
      <c r="H1658" s="71"/>
      <c r="I1658" s="71"/>
      <c r="J1658" s="71"/>
    </row>
    <row r="1659" spans="4:10">
      <c r="D1659" s="71"/>
      <c r="E1659" s="71"/>
      <c r="F1659" s="71"/>
      <c r="G1659" s="71"/>
      <c r="H1659" s="71"/>
      <c r="I1659" s="71"/>
      <c r="J1659" s="71"/>
    </row>
    <row r="1660" spans="4:10">
      <c r="D1660" s="71"/>
      <c r="E1660" s="71"/>
      <c r="F1660" s="71"/>
      <c r="G1660" s="71"/>
      <c r="H1660" s="71"/>
      <c r="I1660" s="71"/>
      <c r="J1660" s="71"/>
    </row>
    <row r="1661" spans="4:10">
      <c r="D1661" s="71"/>
      <c r="E1661" s="71"/>
      <c r="F1661" s="71"/>
      <c r="G1661" s="71"/>
      <c r="H1661" s="71"/>
      <c r="I1661" s="71"/>
      <c r="J1661" s="71"/>
    </row>
    <row r="1662" spans="4:10">
      <c r="D1662" s="71"/>
      <c r="E1662" s="71"/>
      <c r="F1662" s="71"/>
      <c r="G1662" s="71"/>
      <c r="H1662" s="71"/>
      <c r="I1662" s="71"/>
      <c r="J1662" s="71"/>
    </row>
    <row r="1663" spans="4:10">
      <c r="D1663" s="71"/>
      <c r="E1663" s="71"/>
      <c r="F1663" s="71"/>
      <c r="G1663" s="71"/>
      <c r="H1663" s="71"/>
      <c r="I1663" s="71"/>
      <c r="J1663" s="71"/>
    </row>
    <row r="1664" spans="4:10">
      <c r="D1664" s="71"/>
      <c r="E1664" s="71"/>
      <c r="F1664" s="71"/>
      <c r="G1664" s="71"/>
      <c r="H1664" s="71"/>
      <c r="I1664" s="71"/>
      <c r="J1664" s="71"/>
    </row>
    <row r="1665" spans="4:10">
      <c r="D1665" s="71"/>
      <c r="E1665" s="71"/>
      <c r="F1665" s="71"/>
      <c r="G1665" s="71"/>
      <c r="H1665" s="71"/>
      <c r="I1665" s="71"/>
      <c r="J1665" s="71"/>
    </row>
    <row r="1666" spans="4:10">
      <c r="D1666" s="71"/>
      <c r="E1666" s="71"/>
      <c r="F1666" s="71"/>
      <c r="G1666" s="71"/>
      <c r="H1666" s="71"/>
      <c r="I1666" s="71"/>
      <c r="J1666" s="71"/>
    </row>
    <row r="1667" spans="4:10">
      <c r="D1667" s="71"/>
      <c r="E1667" s="71"/>
      <c r="F1667" s="71"/>
      <c r="G1667" s="71"/>
      <c r="H1667" s="71"/>
      <c r="I1667" s="71"/>
      <c r="J1667" s="71"/>
    </row>
    <row r="1668" spans="4:10">
      <c r="D1668" s="71"/>
      <c r="E1668" s="71"/>
      <c r="F1668" s="71"/>
      <c r="G1668" s="71"/>
      <c r="H1668" s="71"/>
      <c r="I1668" s="71"/>
      <c r="J1668" s="71"/>
    </row>
    <row r="1669" spans="4:10">
      <c r="D1669" s="71"/>
      <c r="E1669" s="71"/>
      <c r="F1669" s="71"/>
      <c r="G1669" s="71"/>
      <c r="H1669" s="71"/>
      <c r="I1669" s="71"/>
      <c r="J1669" s="71"/>
    </row>
    <row r="1670" spans="4:10">
      <c r="D1670" s="71"/>
      <c r="E1670" s="71"/>
      <c r="F1670" s="71"/>
      <c r="G1670" s="71"/>
      <c r="H1670" s="71"/>
      <c r="I1670" s="71"/>
      <c r="J1670" s="71"/>
    </row>
    <row r="1671" spans="4:10">
      <c r="D1671" s="71"/>
      <c r="E1671" s="71"/>
      <c r="F1671" s="71"/>
      <c r="G1671" s="71"/>
      <c r="H1671" s="71"/>
      <c r="I1671" s="71"/>
      <c r="J1671" s="71"/>
    </row>
    <row r="1672" spans="4:10">
      <c r="D1672" s="71"/>
      <c r="E1672" s="71"/>
      <c r="F1672" s="71"/>
      <c r="G1672" s="71"/>
      <c r="H1672" s="71"/>
      <c r="I1672" s="71"/>
      <c r="J1672" s="71"/>
    </row>
    <row r="1673" spans="4:10">
      <c r="D1673" s="71"/>
      <c r="E1673" s="71"/>
      <c r="F1673" s="71"/>
      <c r="G1673" s="71"/>
      <c r="H1673" s="71"/>
      <c r="I1673" s="71"/>
      <c r="J1673" s="71"/>
    </row>
    <row r="1674" spans="4:10">
      <c r="D1674" s="71"/>
      <c r="E1674" s="71"/>
      <c r="F1674" s="71"/>
      <c r="G1674" s="71"/>
      <c r="H1674" s="71"/>
      <c r="I1674" s="71"/>
      <c r="J1674" s="71"/>
    </row>
    <row r="1675" spans="4:10">
      <c r="D1675" s="71"/>
      <c r="E1675" s="71"/>
      <c r="F1675" s="71"/>
      <c r="G1675" s="71"/>
      <c r="H1675" s="71"/>
      <c r="I1675" s="71"/>
      <c r="J1675" s="71"/>
    </row>
    <row r="1676" spans="4:10">
      <c r="D1676" s="71"/>
      <c r="E1676" s="71"/>
      <c r="F1676" s="71"/>
      <c r="G1676" s="71"/>
      <c r="H1676" s="71"/>
      <c r="I1676" s="71"/>
      <c r="J1676" s="71"/>
    </row>
    <row r="1677" spans="4:10">
      <c r="D1677" s="71"/>
      <c r="E1677" s="71"/>
      <c r="F1677" s="71"/>
      <c r="G1677" s="71"/>
      <c r="H1677" s="71"/>
      <c r="I1677" s="71"/>
      <c r="J1677" s="71"/>
    </row>
    <row r="1678" spans="4:10">
      <c r="D1678" s="71"/>
      <c r="E1678" s="71"/>
      <c r="F1678" s="71"/>
      <c r="G1678" s="71"/>
      <c r="H1678" s="71"/>
      <c r="I1678" s="71"/>
      <c r="J1678" s="71"/>
    </row>
    <row r="1679" spans="4:10">
      <c r="D1679" s="71"/>
      <c r="E1679" s="71"/>
      <c r="F1679" s="71"/>
      <c r="G1679" s="71"/>
      <c r="H1679" s="71"/>
      <c r="I1679" s="71"/>
      <c r="J1679" s="71"/>
    </row>
    <row r="1680" spans="4:10">
      <c r="D1680" s="71"/>
      <c r="E1680" s="71"/>
      <c r="F1680" s="71"/>
      <c r="G1680" s="71"/>
      <c r="H1680" s="71"/>
      <c r="I1680" s="71"/>
      <c r="J1680" s="71"/>
    </row>
    <row r="1681" spans="4:10">
      <c r="D1681" s="71"/>
      <c r="E1681" s="71"/>
      <c r="F1681" s="71"/>
      <c r="G1681" s="71"/>
      <c r="H1681" s="71"/>
      <c r="I1681" s="71"/>
      <c r="J1681" s="71"/>
    </row>
    <row r="1682" spans="4:10">
      <c r="D1682" s="71"/>
      <c r="E1682" s="71"/>
      <c r="F1682" s="71"/>
      <c r="G1682" s="71"/>
      <c r="H1682" s="71"/>
      <c r="I1682" s="71"/>
      <c r="J1682" s="71"/>
    </row>
    <row r="1683" spans="4:10">
      <c r="D1683" s="71"/>
      <c r="E1683" s="71"/>
      <c r="F1683" s="71"/>
      <c r="G1683" s="71"/>
      <c r="H1683" s="71"/>
      <c r="I1683" s="71"/>
      <c r="J1683" s="71"/>
    </row>
    <row r="1684" spans="4:10">
      <c r="D1684" s="71"/>
      <c r="E1684" s="71"/>
      <c r="F1684" s="71"/>
      <c r="G1684" s="71"/>
      <c r="H1684" s="71"/>
      <c r="I1684" s="71"/>
      <c r="J1684" s="71"/>
    </row>
    <row r="1685" spans="4:10">
      <c r="D1685" s="71"/>
      <c r="E1685" s="71"/>
      <c r="F1685" s="71"/>
      <c r="G1685" s="71"/>
      <c r="H1685" s="71"/>
      <c r="I1685" s="71"/>
      <c r="J1685" s="71"/>
    </row>
    <row r="1686" spans="4:10">
      <c r="D1686" s="71"/>
      <c r="E1686" s="71"/>
      <c r="F1686" s="71"/>
      <c r="G1686" s="71"/>
      <c r="H1686" s="71"/>
      <c r="I1686" s="71"/>
      <c r="J1686" s="71"/>
    </row>
    <row r="1687" spans="4:10">
      <c r="D1687" s="71"/>
      <c r="E1687" s="71"/>
      <c r="F1687" s="71"/>
      <c r="G1687" s="71"/>
      <c r="H1687" s="71"/>
      <c r="I1687" s="71"/>
      <c r="J1687" s="71"/>
    </row>
    <row r="1688" spans="4:10">
      <c r="D1688" s="71"/>
      <c r="E1688" s="71"/>
      <c r="F1688" s="71"/>
      <c r="G1688" s="71"/>
      <c r="H1688" s="71"/>
      <c r="I1688" s="71"/>
      <c r="J1688" s="71"/>
    </row>
    <row r="1689" spans="4:10">
      <c r="D1689" s="71"/>
      <c r="E1689" s="71"/>
      <c r="F1689" s="71"/>
      <c r="G1689" s="71"/>
      <c r="H1689" s="71"/>
      <c r="I1689" s="71"/>
      <c r="J1689" s="71"/>
    </row>
    <row r="1690" spans="4:10">
      <c r="D1690" s="71"/>
      <c r="E1690" s="71"/>
      <c r="F1690" s="71"/>
      <c r="G1690" s="71"/>
      <c r="H1690" s="71"/>
      <c r="I1690" s="71"/>
      <c r="J1690" s="71"/>
    </row>
    <row r="1691" spans="4:10">
      <c r="D1691" s="71"/>
      <c r="E1691" s="71"/>
      <c r="F1691" s="71"/>
      <c r="G1691" s="71"/>
      <c r="H1691" s="71"/>
      <c r="I1691" s="71"/>
      <c r="J1691" s="71"/>
    </row>
    <row r="1692" spans="4:10">
      <c r="D1692" s="71"/>
      <c r="E1692" s="71"/>
      <c r="F1692" s="71"/>
      <c r="G1692" s="71"/>
      <c r="H1692" s="71"/>
      <c r="I1692" s="71"/>
      <c r="J1692" s="71"/>
    </row>
    <row r="1693" spans="4:10">
      <c r="D1693" s="71"/>
      <c r="E1693" s="71"/>
      <c r="F1693" s="71"/>
      <c r="G1693" s="71"/>
      <c r="H1693" s="71"/>
      <c r="I1693" s="71"/>
      <c r="J1693" s="71"/>
    </row>
    <row r="1694" spans="4:10">
      <c r="D1694" s="71"/>
      <c r="E1694" s="71"/>
      <c r="F1694" s="71"/>
      <c r="G1694" s="71"/>
      <c r="H1694" s="71"/>
      <c r="I1694" s="71"/>
      <c r="J1694" s="71"/>
    </row>
    <row r="1695" spans="4:10">
      <c r="D1695" s="71"/>
      <c r="E1695" s="71"/>
      <c r="F1695" s="71"/>
      <c r="G1695" s="71"/>
      <c r="H1695" s="71"/>
      <c r="I1695" s="71"/>
      <c r="J1695" s="71"/>
    </row>
    <row r="1696" spans="4:10">
      <c r="D1696" s="71"/>
      <c r="E1696" s="71"/>
      <c r="F1696" s="71"/>
      <c r="G1696" s="71"/>
      <c r="H1696" s="71"/>
      <c r="I1696" s="71"/>
      <c r="J1696" s="71"/>
    </row>
    <row r="1697" spans="4:10">
      <c r="D1697" s="71"/>
      <c r="E1697" s="71"/>
      <c r="F1697" s="71"/>
      <c r="G1697" s="71"/>
      <c r="H1697" s="71"/>
      <c r="I1697" s="71"/>
      <c r="J1697" s="71"/>
    </row>
    <row r="1698" spans="4:10">
      <c r="D1698" s="71"/>
      <c r="E1698" s="71"/>
      <c r="F1698" s="71"/>
      <c r="G1698" s="71"/>
      <c r="H1698" s="71"/>
      <c r="I1698" s="71"/>
      <c r="J1698" s="71"/>
    </row>
    <row r="1699" spans="4:10">
      <c r="D1699" s="71"/>
      <c r="E1699" s="71"/>
      <c r="F1699" s="71"/>
      <c r="G1699" s="71"/>
      <c r="H1699" s="71"/>
      <c r="I1699" s="71"/>
      <c r="J1699" s="71"/>
    </row>
    <row r="1700" spans="4:10">
      <c r="D1700" s="71"/>
      <c r="E1700" s="71"/>
      <c r="F1700" s="71"/>
      <c r="G1700" s="71"/>
      <c r="H1700" s="71"/>
      <c r="I1700" s="71"/>
      <c r="J1700" s="71"/>
    </row>
    <row r="1701" spans="4:10">
      <c r="D1701" s="71"/>
      <c r="E1701" s="71"/>
      <c r="F1701" s="71"/>
      <c r="G1701" s="71"/>
      <c r="H1701" s="71"/>
      <c r="I1701" s="71"/>
      <c r="J1701" s="71"/>
    </row>
    <row r="1702" spans="4:10">
      <c r="D1702" s="71"/>
      <c r="E1702" s="71"/>
      <c r="F1702" s="71"/>
      <c r="G1702" s="71"/>
      <c r="H1702" s="71"/>
      <c r="I1702" s="71"/>
      <c r="J1702" s="71"/>
    </row>
    <row r="1703" spans="4:10">
      <c r="D1703" s="71"/>
      <c r="E1703" s="71"/>
      <c r="F1703" s="71"/>
      <c r="G1703" s="71"/>
      <c r="H1703" s="71"/>
      <c r="I1703" s="71"/>
      <c r="J1703" s="71"/>
    </row>
    <row r="1704" spans="4:10">
      <c r="D1704" s="71"/>
      <c r="E1704" s="71"/>
      <c r="F1704" s="71"/>
      <c r="G1704" s="71"/>
      <c r="H1704" s="71"/>
      <c r="I1704" s="71"/>
      <c r="J1704" s="71"/>
    </row>
    <row r="1705" spans="4:10">
      <c r="D1705" s="71"/>
      <c r="E1705" s="71"/>
      <c r="F1705" s="71"/>
      <c r="G1705" s="71"/>
      <c r="H1705" s="71"/>
      <c r="I1705" s="71"/>
      <c r="J1705" s="71"/>
    </row>
    <row r="1706" spans="4:10">
      <c r="D1706" s="71"/>
      <c r="E1706" s="71"/>
      <c r="F1706" s="71"/>
      <c r="G1706" s="71"/>
      <c r="H1706" s="71"/>
      <c r="I1706" s="71"/>
      <c r="J1706" s="71"/>
    </row>
    <row r="1707" spans="4:10">
      <c r="D1707" s="71"/>
      <c r="E1707" s="71"/>
      <c r="F1707" s="71"/>
      <c r="G1707" s="71"/>
      <c r="H1707" s="71"/>
      <c r="I1707" s="71"/>
      <c r="J1707" s="71"/>
    </row>
    <row r="1708" spans="4:10">
      <c r="D1708" s="71"/>
      <c r="E1708" s="71"/>
      <c r="F1708" s="71"/>
      <c r="G1708" s="71"/>
      <c r="H1708" s="71"/>
      <c r="I1708" s="71"/>
      <c r="J1708" s="71"/>
    </row>
    <row r="1709" spans="4:10">
      <c r="D1709" s="71"/>
      <c r="E1709" s="71"/>
      <c r="F1709" s="71"/>
      <c r="G1709" s="71"/>
      <c r="H1709" s="71"/>
      <c r="I1709" s="71"/>
      <c r="J1709" s="71"/>
    </row>
    <row r="1710" spans="4:10">
      <c r="D1710" s="71"/>
      <c r="E1710" s="71"/>
      <c r="F1710" s="71"/>
      <c r="G1710" s="71"/>
      <c r="H1710" s="71"/>
      <c r="I1710" s="71"/>
      <c r="J1710" s="71"/>
    </row>
    <row r="1711" spans="4:10">
      <c r="D1711" s="71"/>
      <c r="E1711" s="71"/>
      <c r="F1711" s="71"/>
      <c r="G1711" s="71"/>
      <c r="H1711" s="71"/>
      <c r="I1711" s="71"/>
      <c r="J1711" s="71"/>
    </row>
    <row r="1712" spans="4:10">
      <c r="D1712" s="71"/>
      <c r="E1712" s="71"/>
      <c r="F1712" s="71"/>
      <c r="G1712" s="71"/>
      <c r="H1712" s="71"/>
      <c r="I1712" s="71"/>
      <c r="J1712" s="71"/>
    </row>
    <row r="1713" spans="4:10">
      <c r="D1713" s="71"/>
      <c r="E1713" s="71"/>
      <c r="F1713" s="71"/>
      <c r="G1713" s="71"/>
      <c r="H1713" s="71"/>
      <c r="I1713" s="71"/>
      <c r="J1713" s="71"/>
    </row>
    <row r="1714" spans="4:10">
      <c r="D1714" s="71"/>
      <c r="E1714" s="71"/>
      <c r="F1714" s="71"/>
      <c r="G1714" s="71"/>
      <c r="H1714" s="71"/>
      <c r="I1714" s="71"/>
      <c r="J1714" s="71"/>
    </row>
    <row r="1715" spans="4:10">
      <c r="D1715" s="71"/>
      <c r="E1715" s="71"/>
      <c r="F1715" s="71"/>
      <c r="G1715" s="71"/>
      <c r="H1715" s="71"/>
      <c r="I1715" s="71"/>
      <c r="J1715" s="71"/>
    </row>
    <row r="1716" spans="4:10">
      <c r="D1716" s="71"/>
      <c r="E1716" s="71"/>
      <c r="F1716" s="71"/>
      <c r="G1716" s="71"/>
      <c r="H1716" s="71"/>
      <c r="I1716" s="71"/>
      <c r="J1716" s="71"/>
    </row>
    <row r="1717" spans="4:10">
      <c r="D1717" s="71"/>
      <c r="E1717" s="71"/>
      <c r="F1717" s="71"/>
      <c r="G1717" s="71"/>
      <c r="H1717" s="71"/>
      <c r="I1717" s="71"/>
      <c r="J1717" s="71"/>
    </row>
    <row r="1718" spans="4:10">
      <c r="D1718" s="71"/>
      <c r="E1718" s="71"/>
      <c r="F1718" s="71"/>
      <c r="G1718" s="71"/>
      <c r="H1718" s="71"/>
      <c r="I1718" s="71"/>
      <c r="J1718" s="71"/>
    </row>
    <row r="1719" spans="4:10">
      <c r="D1719" s="71"/>
      <c r="E1719" s="71"/>
      <c r="F1719" s="71"/>
      <c r="G1719" s="71"/>
      <c r="H1719" s="71"/>
      <c r="I1719" s="71"/>
      <c r="J1719" s="71"/>
    </row>
    <row r="1720" spans="4:10">
      <c r="D1720" s="71"/>
      <c r="E1720" s="71"/>
      <c r="F1720" s="71"/>
      <c r="G1720" s="71"/>
      <c r="H1720" s="71"/>
      <c r="I1720" s="71"/>
      <c r="J1720" s="71"/>
    </row>
    <row r="1721" spans="4:10">
      <c r="D1721" s="71"/>
      <c r="E1721" s="71"/>
      <c r="F1721" s="71"/>
      <c r="G1721" s="71"/>
      <c r="H1721" s="71"/>
      <c r="I1721" s="71"/>
      <c r="J1721" s="71"/>
    </row>
    <row r="1722" spans="4:10">
      <c r="D1722" s="71"/>
      <c r="E1722" s="71"/>
      <c r="F1722" s="71"/>
      <c r="G1722" s="71"/>
      <c r="H1722" s="71"/>
      <c r="I1722" s="71"/>
      <c r="J1722" s="71"/>
    </row>
    <row r="1723" spans="4:10">
      <c r="D1723" s="71"/>
      <c r="E1723" s="71"/>
      <c r="F1723" s="71"/>
      <c r="G1723" s="71"/>
      <c r="H1723" s="71"/>
      <c r="I1723" s="71"/>
      <c r="J1723" s="71"/>
    </row>
    <row r="1724" spans="4:10">
      <c r="D1724" s="71"/>
      <c r="E1724" s="71"/>
      <c r="F1724" s="71"/>
      <c r="G1724" s="71"/>
      <c r="H1724" s="71"/>
      <c r="I1724" s="71"/>
      <c r="J1724" s="71"/>
    </row>
    <row r="1725" spans="4:10">
      <c r="D1725" s="71"/>
      <c r="E1725" s="71"/>
      <c r="F1725" s="71"/>
      <c r="G1725" s="71"/>
      <c r="H1725" s="71"/>
      <c r="I1725" s="71"/>
      <c r="J1725" s="71"/>
    </row>
    <row r="1726" spans="4:10">
      <c r="D1726" s="71"/>
      <c r="E1726" s="71"/>
      <c r="F1726" s="71"/>
      <c r="G1726" s="71"/>
      <c r="H1726" s="71"/>
      <c r="I1726" s="71"/>
      <c r="J1726" s="71"/>
    </row>
    <row r="1727" spans="4:10">
      <c r="D1727" s="71"/>
      <c r="E1727" s="71"/>
      <c r="F1727" s="71"/>
      <c r="G1727" s="71"/>
      <c r="H1727" s="71"/>
      <c r="I1727" s="71"/>
      <c r="J1727" s="71"/>
    </row>
    <row r="1728" spans="4:10">
      <c r="D1728" s="71"/>
      <c r="E1728" s="71"/>
      <c r="F1728" s="71"/>
      <c r="G1728" s="71"/>
      <c r="H1728" s="71"/>
      <c r="I1728" s="71"/>
      <c r="J1728" s="71"/>
    </row>
    <row r="1729" spans="4:10">
      <c r="D1729" s="71"/>
      <c r="E1729" s="71"/>
      <c r="F1729" s="71"/>
      <c r="G1729" s="71"/>
      <c r="H1729" s="71"/>
      <c r="I1729" s="71"/>
      <c r="J1729" s="71"/>
    </row>
    <row r="1730" spans="4:10">
      <c r="D1730" s="71"/>
      <c r="E1730" s="71"/>
      <c r="F1730" s="71"/>
      <c r="G1730" s="71"/>
      <c r="H1730" s="71"/>
      <c r="I1730" s="71"/>
      <c r="J1730" s="71"/>
    </row>
    <row r="1731" spans="4:10">
      <c r="D1731" s="71"/>
      <c r="E1731" s="71"/>
      <c r="F1731" s="71"/>
      <c r="G1731" s="71"/>
      <c r="H1731" s="71"/>
      <c r="I1731" s="71"/>
      <c r="J1731" s="71"/>
    </row>
    <row r="1732" spans="4:10">
      <c r="D1732" s="71"/>
      <c r="E1732" s="71"/>
      <c r="F1732" s="71"/>
      <c r="G1732" s="71"/>
      <c r="H1732" s="71"/>
      <c r="I1732" s="71"/>
      <c r="J1732" s="71"/>
    </row>
    <row r="1733" spans="4:10">
      <c r="D1733" s="71"/>
      <c r="E1733" s="71"/>
      <c r="F1733" s="71"/>
      <c r="G1733" s="71"/>
      <c r="H1733" s="71"/>
      <c r="I1733" s="71"/>
      <c r="J1733" s="71"/>
    </row>
    <row r="1734" spans="4:10">
      <c r="D1734" s="71"/>
      <c r="E1734" s="71"/>
      <c r="F1734" s="71"/>
      <c r="G1734" s="71"/>
      <c r="H1734" s="71"/>
      <c r="I1734" s="71"/>
      <c r="J1734" s="71"/>
    </row>
    <row r="1735" spans="4:10">
      <c r="D1735" s="71"/>
      <c r="E1735" s="71"/>
      <c r="F1735" s="71"/>
      <c r="G1735" s="71"/>
      <c r="H1735" s="71"/>
      <c r="I1735" s="71"/>
      <c r="J1735" s="71"/>
    </row>
    <row r="1736" spans="4:10">
      <c r="D1736" s="71"/>
      <c r="E1736" s="71"/>
      <c r="F1736" s="71"/>
      <c r="G1736" s="71"/>
      <c r="H1736" s="71"/>
      <c r="I1736" s="71"/>
      <c r="J1736" s="71"/>
    </row>
    <row r="1737" spans="4:10">
      <c r="D1737" s="71"/>
      <c r="E1737" s="71"/>
      <c r="F1737" s="71"/>
      <c r="G1737" s="71"/>
      <c r="H1737" s="71"/>
      <c r="I1737" s="71"/>
      <c r="J1737" s="71"/>
    </row>
    <row r="1738" spans="4:10">
      <c r="D1738" s="71"/>
      <c r="E1738" s="71"/>
      <c r="F1738" s="71"/>
      <c r="G1738" s="71"/>
      <c r="H1738" s="71"/>
      <c r="I1738" s="71"/>
      <c r="J1738" s="71"/>
    </row>
    <row r="1739" spans="4:10">
      <c r="D1739" s="71"/>
      <c r="E1739" s="71"/>
      <c r="F1739" s="71"/>
      <c r="G1739" s="71"/>
      <c r="H1739" s="71"/>
      <c r="I1739" s="71"/>
      <c r="J1739" s="71"/>
    </row>
    <row r="1740" spans="4:10">
      <c r="D1740" s="71"/>
      <c r="E1740" s="71"/>
      <c r="F1740" s="71"/>
      <c r="G1740" s="71"/>
      <c r="H1740" s="71"/>
      <c r="I1740" s="71"/>
      <c r="J1740" s="71"/>
    </row>
    <row r="1741" spans="4:10">
      <c r="D1741" s="71"/>
      <c r="E1741" s="71"/>
      <c r="F1741" s="71"/>
      <c r="G1741" s="71"/>
      <c r="H1741" s="71"/>
      <c r="I1741" s="71"/>
      <c r="J1741" s="71"/>
    </row>
    <row r="1742" spans="4:10">
      <c r="D1742" s="71"/>
      <c r="E1742" s="71"/>
      <c r="F1742" s="71"/>
      <c r="G1742" s="71"/>
      <c r="H1742" s="71"/>
      <c r="I1742" s="71"/>
      <c r="J1742" s="71"/>
    </row>
    <row r="1743" spans="4:10">
      <c r="D1743" s="71"/>
      <c r="E1743" s="71"/>
      <c r="F1743" s="71"/>
      <c r="G1743" s="71"/>
      <c r="H1743" s="71"/>
      <c r="I1743" s="71"/>
      <c r="J1743" s="71"/>
    </row>
    <row r="1744" spans="4:10">
      <c r="D1744" s="71"/>
      <c r="E1744" s="71"/>
      <c r="F1744" s="71"/>
      <c r="G1744" s="71"/>
      <c r="H1744" s="71"/>
      <c r="I1744" s="71"/>
      <c r="J1744" s="71"/>
    </row>
    <row r="1745" spans="4:10">
      <c r="D1745" s="71"/>
      <c r="E1745" s="71"/>
      <c r="F1745" s="71"/>
      <c r="G1745" s="71"/>
      <c r="H1745" s="71"/>
      <c r="I1745" s="71"/>
      <c r="J1745" s="71"/>
    </row>
    <row r="1746" spans="4:10">
      <c r="D1746" s="71"/>
      <c r="E1746" s="71"/>
      <c r="F1746" s="71"/>
      <c r="G1746" s="71"/>
      <c r="H1746" s="71"/>
      <c r="I1746" s="71"/>
      <c r="J1746" s="71"/>
    </row>
    <row r="1747" spans="4:10">
      <c r="D1747" s="71"/>
      <c r="E1747" s="71"/>
      <c r="F1747" s="71"/>
      <c r="G1747" s="71"/>
      <c r="H1747" s="71"/>
      <c r="I1747" s="71"/>
      <c r="J1747" s="71"/>
    </row>
    <row r="1748" spans="4:10">
      <c r="D1748" s="71"/>
      <c r="E1748" s="71"/>
      <c r="F1748" s="71"/>
      <c r="G1748" s="71"/>
      <c r="H1748" s="71"/>
      <c r="I1748" s="71"/>
      <c r="J1748" s="71"/>
    </row>
    <row r="1749" spans="4:10">
      <c r="D1749" s="71"/>
      <c r="E1749" s="71"/>
      <c r="F1749" s="71"/>
      <c r="G1749" s="71"/>
      <c r="H1749" s="71"/>
      <c r="I1749" s="71"/>
      <c r="J1749" s="71"/>
    </row>
    <row r="1750" spans="4:10">
      <c r="D1750" s="71"/>
      <c r="E1750" s="71"/>
      <c r="F1750" s="71"/>
      <c r="G1750" s="71"/>
      <c r="H1750" s="71"/>
      <c r="I1750" s="71"/>
      <c r="J1750" s="71"/>
    </row>
    <row r="1751" spans="4:10">
      <c r="D1751" s="71"/>
      <c r="E1751" s="71"/>
      <c r="F1751" s="71"/>
      <c r="G1751" s="71"/>
      <c r="H1751" s="71"/>
      <c r="I1751" s="71"/>
      <c r="J1751" s="71"/>
    </row>
    <row r="1752" spans="4:10">
      <c r="D1752" s="71"/>
      <c r="E1752" s="71"/>
      <c r="F1752" s="71"/>
      <c r="G1752" s="71"/>
      <c r="H1752" s="71"/>
      <c r="I1752" s="71"/>
      <c r="J1752" s="71"/>
    </row>
    <row r="1753" spans="4:10">
      <c r="D1753" s="71"/>
      <c r="E1753" s="71"/>
      <c r="F1753" s="71"/>
      <c r="G1753" s="71"/>
      <c r="H1753" s="71"/>
      <c r="I1753" s="71"/>
      <c r="J1753" s="71"/>
    </row>
    <row r="1754" spans="4:10">
      <c r="D1754" s="71"/>
      <c r="E1754" s="71"/>
      <c r="F1754" s="71"/>
      <c r="G1754" s="71"/>
      <c r="H1754" s="71"/>
      <c r="I1754" s="71"/>
      <c r="J1754" s="71"/>
    </row>
    <row r="1755" spans="4:10">
      <c r="D1755" s="71"/>
      <c r="E1755" s="71"/>
      <c r="F1755" s="71"/>
      <c r="G1755" s="71"/>
      <c r="H1755" s="71"/>
      <c r="I1755" s="71"/>
      <c r="J1755" s="71"/>
    </row>
    <row r="1756" spans="4:10">
      <c r="D1756" s="71"/>
      <c r="E1756" s="71"/>
      <c r="F1756" s="71"/>
      <c r="G1756" s="71"/>
      <c r="H1756" s="71"/>
      <c r="I1756" s="71"/>
      <c r="J1756" s="71"/>
    </row>
    <row r="1757" spans="4:10">
      <c r="D1757" s="71"/>
      <c r="E1757" s="71"/>
      <c r="F1757" s="71"/>
      <c r="G1757" s="71"/>
      <c r="H1757" s="71"/>
      <c r="I1757" s="71"/>
      <c r="J1757" s="71"/>
    </row>
    <row r="1758" spans="4:10">
      <c r="D1758" s="71"/>
      <c r="E1758" s="71"/>
      <c r="F1758" s="71"/>
      <c r="G1758" s="71"/>
      <c r="H1758" s="71"/>
      <c r="I1758" s="71"/>
      <c r="J1758" s="71"/>
    </row>
    <row r="1759" spans="4:10">
      <c r="D1759" s="71"/>
      <c r="E1759" s="71"/>
      <c r="F1759" s="71"/>
      <c r="G1759" s="71"/>
      <c r="H1759" s="71"/>
      <c r="I1759" s="71"/>
      <c r="J1759" s="71"/>
    </row>
    <row r="1760" spans="4:10">
      <c r="D1760" s="71"/>
      <c r="E1760" s="71"/>
      <c r="F1760" s="71"/>
      <c r="G1760" s="71"/>
      <c r="H1760" s="71"/>
      <c r="I1760" s="71"/>
      <c r="J1760" s="71"/>
    </row>
    <row r="1761" spans="4:10">
      <c r="D1761" s="71"/>
      <c r="E1761" s="71"/>
      <c r="F1761" s="71"/>
      <c r="G1761" s="71"/>
      <c r="H1761" s="71"/>
      <c r="I1761" s="71"/>
      <c r="J1761" s="71"/>
    </row>
    <row r="1762" spans="4:10">
      <c r="D1762" s="71"/>
      <c r="E1762" s="71"/>
      <c r="F1762" s="71"/>
      <c r="G1762" s="71"/>
      <c r="H1762" s="71"/>
      <c r="I1762" s="71"/>
      <c r="J1762" s="71"/>
    </row>
    <row r="1763" spans="4:10">
      <c r="D1763" s="71"/>
      <c r="E1763" s="71"/>
      <c r="F1763" s="71"/>
      <c r="G1763" s="71"/>
      <c r="H1763" s="71"/>
      <c r="I1763" s="71"/>
      <c r="J1763" s="71"/>
    </row>
    <row r="1764" spans="4:10">
      <c r="D1764" s="71"/>
      <c r="E1764" s="71"/>
      <c r="F1764" s="71"/>
      <c r="G1764" s="71"/>
      <c r="H1764" s="71"/>
      <c r="I1764" s="71"/>
      <c r="J1764" s="71"/>
    </row>
    <row r="1765" spans="4:10">
      <c r="D1765" s="71"/>
      <c r="E1765" s="71"/>
      <c r="F1765" s="71"/>
      <c r="G1765" s="71"/>
      <c r="H1765" s="71"/>
      <c r="I1765" s="71"/>
      <c r="J1765" s="71"/>
    </row>
    <row r="1766" spans="4:10">
      <c r="D1766" s="71"/>
      <c r="E1766" s="71"/>
      <c r="F1766" s="71"/>
      <c r="G1766" s="71"/>
      <c r="H1766" s="71"/>
      <c r="I1766" s="71"/>
      <c r="J1766" s="71"/>
    </row>
    <row r="1767" spans="4:10">
      <c r="D1767" s="71"/>
      <c r="E1767" s="71"/>
      <c r="F1767" s="71"/>
      <c r="G1767" s="71"/>
      <c r="H1767" s="71"/>
      <c r="I1767" s="71"/>
      <c r="J1767" s="71"/>
    </row>
    <row r="1768" spans="4:10">
      <c r="D1768" s="71"/>
      <c r="E1768" s="71"/>
      <c r="F1768" s="71"/>
      <c r="G1768" s="71"/>
      <c r="H1768" s="71"/>
      <c r="I1768" s="71"/>
      <c r="J1768" s="71"/>
    </row>
    <row r="1769" spans="4:10">
      <c r="D1769" s="71"/>
      <c r="E1769" s="71"/>
      <c r="F1769" s="71"/>
      <c r="G1769" s="71"/>
      <c r="H1769" s="71"/>
      <c r="I1769" s="71"/>
      <c r="J1769" s="71"/>
    </row>
    <row r="1770" spans="4:10">
      <c r="D1770" s="71"/>
      <c r="E1770" s="71"/>
      <c r="F1770" s="71"/>
      <c r="G1770" s="71"/>
      <c r="H1770" s="71"/>
      <c r="I1770" s="71"/>
      <c r="J1770" s="71"/>
    </row>
    <row r="1771" spans="4:10">
      <c r="D1771" s="71"/>
      <c r="E1771" s="71"/>
      <c r="F1771" s="71"/>
      <c r="G1771" s="71"/>
      <c r="H1771" s="71"/>
      <c r="I1771" s="71"/>
      <c r="J1771" s="71"/>
    </row>
    <row r="1772" spans="4:10">
      <c r="D1772" s="71"/>
      <c r="E1772" s="71"/>
      <c r="F1772" s="71"/>
      <c r="G1772" s="71"/>
      <c r="H1772" s="71"/>
      <c r="I1772" s="71"/>
      <c r="J1772" s="71"/>
    </row>
    <row r="1773" spans="4:10">
      <c r="D1773" s="71"/>
      <c r="E1773" s="71"/>
      <c r="F1773" s="71"/>
      <c r="G1773" s="71"/>
      <c r="H1773" s="71"/>
      <c r="I1773" s="71"/>
      <c r="J1773" s="71"/>
    </row>
    <row r="1774" spans="4:10">
      <c r="D1774" s="71"/>
      <c r="E1774" s="71"/>
      <c r="F1774" s="71"/>
      <c r="G1774" s="71"/>
      <c r="H1774" s="71"/>
      <c r="I1774" s="71"/>
      <c r="J1774" s="71"/>
    </row>
    <row r="1775" spans="4:10">
      <c r="D1775" s="71"/>
      <c r="E1775" s="71"/>
      <c r="F1775" s="71"/>
      <c r="G1775" s="71"/>
      <c r="H1775" s="71"/>
      <c r="I1775" s="71"/>
      <c r="J1775" s="71"/>
    </row>
    <row r="1776" spans="4:10">
      <c r="D1776" s="71"/>
      <c r="E1776" s="71"/>
      <c r="F1776" s="71"/>
      <c r="G1776" s="71"/>
      <c r="H1776" s="71"/>
      <c r="I1776" s="71"/>
      <c r="J1776" s="71"/>
    </row>
    <row r="1777" spans="4:10">
      <c r="D1777" s="71"/>
      <c r="E1777" s="71"/>
      <c r="F1777" s="71"/>
      <c r="G1777" s="71"/>
      <c r="H1777" s="71"/>
      <c r="I1777" s="71"/>
      <c r="J1777" s="71"/>
    </row>
    <row r="1778" spans="4:10">
      <c r="D1778" s="71"/>
      <c r="E1778" s="71"/>
      <c r="F1778" s="71"/>
      <c r="G1778" s="71"/>
      <c r="H1778" s="71"/>
      <c r="I1778" s="71"/>
      <c r="J1778" s="71"/>
    </row>
    <row r="1779" spans="4:10">
      <c r="D1779" s="71"/>
      <c r="E1779" s="71"/>
      <c r="F1779" s="71"/>
      <c r="G1779" s="71"/>
      <c r="H1779" s="71"/>
      <c r="I1779" s="71"/>
      <c r="J1779" s="71"/>
    </row>
    <row r="1780" spans="4:10">
      <c r="D1780" s="71"/>
      <c r="E1780" s="71"/>
      <c r="F1780" s="71"/>
      <c r="G1780" s="71"/>
      <c r="H1780" s="71"/>
      <c r="I1780" s="71"/>
      <c r="J1780" s="71"/>
    </row>
    <row r="1781" spans="4:10">
      <c r="D1781" s="71"/>
      <c r="E1781" s="71"/>
      <c r="F1781" s="71"/>
      <c r="G1781" s="71"/>
      <c r="H1781" s="71"/>
      <c r="I1781" s="71"/>
      <c r="J1781" s="71"/>
    </row>
    <row r="1782" spans="4:10">
      <c r="D1782" s="71"/>
      <c r="E1782" s="71"/>
      <c r="F1782" s="71"/>
      <c r="G1782" s="71"/>
      <c r="H1782" s="71"/>
      <c r="I1782" s="71"/>
      <c r="J1782" s="71"/>
    </row>
    <row r="1783" spans="4:10">
      <c r="D1783" s="71"/>
      <c r="E1783" s="71"/>
      <c r="F1783" s="71"/>
      <c r="G1783" s="71"/>
      <c r="H1783" s="71"/>
      <c r="I1783" s="71"/>
      <c r="J1783" s="71"/>
    </row>
    <row r="1784" spans="4:10">
      <c r="D1784" s="71"/>
      <c r="E1784" s="71"/>
      <c r="F1784" s="71"/>
      <c r="G1784" s="71"/>
      <c r="H1784" s="71"/>
      <c r="I1784" s="71"/>
      <c r="J1784" s="71"/>
    </row>
    <row r="1785" spans="4:10">
      <c r="D1785" s="71"/>
      <c r="E1785" s="71"/>
      <c r="F1785" s="71"/>
      <c r="G1785" s="71"/>
      <c r="H1785" s="71"/>
      <c r="I1785" s="71"/>
      <c r="J1785" s="71"/>
    </row>
    <row r="1786" spans="4:10">
      <c r="D1786" s="71"/>
      <c r="E1786" s="71"/>
      <c r="F1786" s="71"/>
      <c r="G1786" s="71"/>
      <c r="H1786" s="71"/>
      <c r="I1786" s="71"/>
      <c r="J1786" s="71"/>
    </row>
    <row r="1787" spans="4:10">
      <c r="D1787" s="71"/>
      <c r="E1787" s="71"/>
      <c r="F1787" s="71"/>
      <c r="G1787" s="71"/>
      <c r="H1787" s="71"/>
      <c r="I1787" s="71"/>
      <c r="J1787" s="71"/>
    </row>
    <row r="1788" spans="4:10">
      <c r="D1788" s="71"/>
      <c r="E1788" s="71"/>
      <c r="F1788" s="71"/>
      <c r="G1788" s="71"/>
      <c r="H1788" s="71"/>
      <c r="I1788" s="71"/>
      <c r="J1788" s="71"/>
    </row>
    <row r="1789" spans="4:10">
      <c r="D1789" s="71"/>
      <c r="E1789" s="71"/>
      <c r="F1789" s="71"/>
      <c r="G1789" s="71"/>
      <c r="H1789" s="71"/>
      <c r="I1789" s="71"/>
      <c r="J1789" s="71"/>
    </row>
    <row r="1790" spans="4:10">
      <c r="D1790" s="71"/>
      <c r="E1790" s="71"/>
      <c r="F1790" s="71"/>
      <c r="G1790" s="71"/>
      <c r="H1790" s="71"/>
      <c r="I1790" s="71"/>
      <c r="J1790" s="71"/>
    </row>
    <row r="1791" spans="4:10">
      <c r="D1791" s="71"/>
      <c r="E1791" s="71"/>
      <c r="F1791" s="71"/>
      <c r="G1791" s="71"/>
      <c r="H1791" s="71"/>
      <c r="I1791" s="71"/>
      <c r="J1791" s="71"/>
    </row>
    <row r="1792" spans="4:10">
      <c r="D1792" s="71"/>
      <c r="E1792" s="71"/>
      <c r="F1792" s="71"/>
      <c r="G1792" s="71"/>
      <c r="H1792" s="71"/>
      <c r="I1792" s="71"/>
      <c r="J1792" s="71"/>
    </row>
    <row r="1793" spans="4:10">
      <c r="D1793" s="71"/>
      <c r="E1793" s="71"/>
      <c r="F1793" s="71"/>
      <c r="G1793" s="71"/>
      <c r="H1793" s="71"/>
      <c r="I1793" s="71"/>
      <c r="J1793" s="71"/>
    </row>
    <row r="1794" spans="4:10">
      <c r="D1794" s="71"/>
      <c r="E1794" s="71"/>
      <c r="F1794" s="71"/>
      <c r="G1794" s="71"/>
      <c r="H1794" s="71"/>
      <c r="I1794" s="71"/>
      <c r="J1794" s="71"/>
    </row>
    <row r="1795" spans="4:10">
      <c r="D1795" s="71"/>
      <c r="E1795" s="71"/>
      <c r="F1795" s="71"/>
      <c r="G1795" s="71"/>
      <c r="H1795" s="71"/>
      <c r="I1795" s="71"/>
      <c r="J1795" s="71"/>
    </row>
    <row r="1796" spans="4:10">
      <c r="D1796" s="71"/>
      <c r="E1796" s="71"/>
      <c r="F1796" s="71"/>
      <c r="G1796" s="71"/>
      <c r="H1796" s="71"/>
      <c r="I1796" s="71"/>
      <c r="J1796" s="71"/>
    </row>
    <row r="1797" spans="4:10">
      <c r="D1797" s="71"/>
      <c r="E1797" s="71"/>
      <c r="F1797" s="71"/>
      <c r="G1797" s="71"/>
      <c r="H1797" s="71"/>
      <c r="I1797" s="71"/>
      <c r="J1797" s="71"/>
    </row>
    <row r="1798" spans="4:10">
      <c r="D1798" s="71"/>
      <c r="E1798" s="71"/>
      <c r="F1798" s="71"/>
      <c r="G1798" s="71"/>
      <c r="H1798" s="71"/>
      <c r="I1798" s="71"/>
      <c r="J1798" s="71"/>
    </row>
    <row r="1799" spans="4:10">
      <c r="D1799" s="71"/>
      <c r="E1799" s="71"/>
      <c r="F1799" s="71"/>
      <c r="G1799" s="71"/>
      <c r="H1799" s="71"/>
      <c r="I1799" s="71"/>
      <c r="J1799" s="71"/>
    </row>
    <row r="1800" spans="4:10">
      <c r="D1800" s="71"/>
      <c r="E1800" s="71"/>
      <c r="F1800" s="71"/>
      <c r="G1800" s="71"/>
      <c r="H1800" s="71"/>
      <c r="I1800" s="71"/>
      <c r="J1800" s="71"/>
    </row>
    <row r="1801" spans="4:10">
      <c r="D1801" s="71"/>
      <c r="E1801" s="71"/>
      <c r="F1801" s="71"/>
      <c r="G1801" s="71"/>
      <c r="H1801" s="71"/>
      <c r="I1801" s="71"/>
      <c r="J1801" s="71"/>
    </row>
    <row r="1802" spans="4:10">
      <c r="D1802" s="71"/>
      <c r="E1802" s="71"/>
      <c r="F1802" s="71"/>
      <c r="G1802" s="71"/>
      <c r="H1802" s="71"/>
      <c r="I1802" s="71"/>
      <c r="J1802" s="71"/>
    </row>
    <row r="1803" spans="4:10">
      <c r="D1803" s="71"/>
      <c r="E1803" s="71"/>
      <c r="F1803" s="71"/>
      <c r="G1803" s="71"/>
      <c r="H1803" s="71"/>
      <c r="I1803" s="71"/>
      <c r="J1803" s="71"/>
    </row>
    <row r="1804" spans="4:10">
      <c r="D1804" s="71"/>
      <c r="E1804" s="71"/>
      <c r="F1804" s="71"/>
      <c r="G1804" s="71"/>
      <c r="H1804" s="71"/>
      <c r="I1804" s="71"/>
      <c r="J1804" s="71"/>
    </row>
    <row r="1805" spans="4:10">
      <c r="D1805" s="71"/>
      <c r="E1805" s="71"/>
      <c r="F1805" s="71"/>
      <c r="G1805" s="71"/>
      <c r="H1805" s="71"/>
      <c r="I1805" s="71"/>
      <c r="J1805" s="71"/>
    </row>
    <row r="1806" spans="4:10">
      <c r="D1806" s="71"/>
      <c r="E1806" s="71"/>
      <c r="F1806" s="71"/>
      <c r="G1806" s="71"/>
      <c r="H1806" s="71"/>
      <c r="I1806" s="71"/>
      <c r="J1806" s="71"/>
    </row>
    <row r="1807" spans="4:10">
      <c r="D1807" s="71"/>
      <c r="E1807" s="71"/>
      <c r="F1807" s="71"/>
      <c r="G1807" s="71"/>
      <c r="H1807" s="71"/>
      <c r="I1807" s="71"/>
      <c r="J1807" s="71"/>
    </row>
    <row r="1808" spans="4:10">
      <c r="D1808" s="71"/>
      <c r="E1808" s="71"/>
      <c r="F1808" s="71"/>
      <c r="G1808" s="71"/>
      <c r="H1808" s="71"/>
      <c r="I1808" s="71"/>
      <c r="J1808" s="71"/>
    </row>
    <row r="1809" spans="4:10">
      <c r="D1809" s="71"/>
      <c r="E1809" s="71"/>
      <c r="F1809" s="71"/>
      <c r="G1809" s="71"/>
      <c r="H1809" s="71"/>
      <c r="I1809" s="71"/>
      <c r="J1809" s="71"/>
    </row>
    <row r="1810" spans="4:10">
      <c r="D1810" s="71"/>
      <c r="E1810" s="71"/>
      <c r="F1810" s="71"/>
      <c r="G1810" s="71"/>
      <c r="H1810" s="71"/>
      <c r="I1810" s="71"/>
      <c r="J1810" s="71"/>
    </row>
    <row r="1811" spans="4:10">
      <c r="D1811" s="71"/>
      <c r="E1811" s="71"/>
      <c r="F1811" s="71"/>
      <c r="G1811" s="71"/>
      <c r="H1811" s="71"/>
      <c r="I1811" s="71"/>
      <c r="J1811" s="71"/>
    </row>
    <row r="1812" spans="4:10">
      <c r="D1812" s="71"/>
      <c r="E1812" s="71"/>
      <c r="F1812" s="71"/>
      <c r="G1812" s="71"/>
      <c r="H1812" s="71"/>
      <c r="I1812" s="71"/>
      <c r="J1812" s="71"/>
    </row>
    <row r="1813" spans="4:10">
      <c r="D1813" s="71"/>
      <c r="E1813" s="71"/>
      <c r="F1813" s="71"/>
      <c r="G1813" s="71"/>
      <c r="H1813" s="71"/>
      <c r="I1813" s="71"/>
      <c r="J1813" s="71"/>
    </row>
    <row r="1814" spans="4:10">
      <c r="D1814" s="71"/>
      <c r="E1814" s="71"/>
      <c r="F1814" s="71"/>
      <c r="G1814" s="71"/>
      <c r="H1814" s="71"/>
      <c r="I1814" s="71"/>
      <c r="J1814" s="71"/>
    </row>
    <row r="1815" spans="4:10">
      <c r="D1815" s="71"/>
      <c r="E1815" s="71"/>
      <c r="F1815" s="71"/>
      <c r="G1815" s="71"/>
      <c r="H1815" s="71"/>
      <c r="I1815" s="71"/>
      <c r="J1815" s="71"/>
    </row>
    <row r="1816" spans="4:10">
      <c r="D1816" s="71"/>
      <c r="E1816" s="71"/>
      <c r="F1816" s="71"/>
      <c r="G1816" s="71"/>
      <c r="H1816" s="71"/>
      <c r="I1816" s="71"/>
      <c r="J1816" s="71"/>
    </row>
    <row r="1817" spans="4:10">
      <c r="D1817" s="71"/>
      <c r="E1817" s="71"/>
      <c r="F1817" s="71"/>
      <c r="G1817" s="71"/>
      <c r="H1817" s="71"/>
      <c r="I1817" s="71"/>
      <c r="J1817" s="71"/>
    </row>
    <row r="1818" spans="4:10">
      <c r="D1818" s="71"/>
      <c r="E1818" s="71"/>
      <c r="F1818" s="71"/>
      <c r="G1818" s="71"/>
      <c r="H1818" s="71"/>
      <c r="I1818" s="71"/>
      <c r="J1818" s="71"/>
    </row>
    <row r="1819" spans="4:10">
      <c r="D1819" s="71"/>
      <c r="E1819" s="71"/>
      <c r="F1819" s="71"/>
      <c r="G1819" s="71"/>
      <c r="H1819" s="71"/>
      <c r="I1819" s="71"/>
      <c r="J1819" s="71"/>
    </row>
    <row r="1820" spans="4:10">
      <c r="D1820" s="71"/>
      <c r="E1820" s="71"/>
      <c r="F1820" s="71"/>
      <c r="G1820" s="71"/>
      <c r="H1820" s="71"/>
      <c r="I1820" s="71"/>
      <c r="J1820" s="71"/>
    </row>
    <row r="1821" spans="4:10">
      <c r="D1821" s="71"/>
      <c r="E1821" s="71"/>
      <c r="F1821" s="71"/>
      <c r="G1821" s="71"/>
      <c r="H1821" s="71"/>
      <c r="I1821" s="71"/>
      <c r="J1821" s="71"/>
    </row>
    <row r="1822" spans="4:10">
      <c r="D1822" s="71"/>
      <c r="E1822" s="71"/>
      <c r="F1822" s="71"/>
      <c r="G1822" s="71"/>
      <c r="H1822" s="71"/>
      <c r="I1822" s="71"/>
      <c r="J1822" s="71"/>
    </row>
    <row r="1823" spans="4:10">
      <c r="D1823" s="71"/>
      <c r="E1823" s="71"/>
      <c r="F1823" s="71"/>
      <c r="G1823" s="71"/>
      <c r="H1823" s="71"/>
      <c r="I1823" s="71"/>
      <c r="J1823" s="71"/>
    </row>
    <row r="1824" spans="4:10">
      <c r="D1824" s="71"/>
      <c r="E1824" s="71"/>
      <c r="F1824" s="71"/>
      <c r="G1824" s="71"/>
      <c r="H1824" s="71"/>
      <c r="I1824" s="71"/>
      <c r="J1824" s="71"/>
    </row>
    <row r="1825" spans="4:10">
      <c r="D1825" s="71"/>
      <c r="E1825" s="71"/>
      <c r="F1825" s="71"/>
      <c r="G1825" s="71"/>
      <c r="H1825" s="71"/>
      <c r="I1825" s="71"/>
      <c r="J1825" s="71"/>
    </row>
    <row r="1826" spans="4:10">
      <c r="D1826" s="71"/>
      <c r="E1826" s="71"/>
      <c r="F1826" s="71"/>
      <c r="G1826" s="71"/>
      <c r="H1826" s="71"/>
      <c r="I1826" s="71"/>
      <c r="J1826" s="71"/>
    </row>
    <row r="1827" spans="4:10">
      <c r="D1827" s="71"/>
      <c r="E1827" s="71"/>
      <c r="F1827" s="71"/>
      <c r="G1827" s="71"/>
      <c r="H1827" s="71"/>
      <c r="I1827" s="71"/>
      <c r="J1827" s="71"/>
    </row>
    <row r="1828" spans="4:10">
      <c r="D1828" s="71"/>
      <c r="E1828" s="71"/>
      <c r="F1828" s="71"/>
      <c r="G1828" s="71"/>
      <c r="H1828" s="71"/>
      <c r="I1828" s="71"/>
      <c r="J1828" s="71"/>
    </row>
    <row r="1829" spans="4:10">
      <c r="D1829" s="71"/>
      <c r="E1829" s="71"/>
      <c r="F1829" s="71"/>
      <c r="G1829" s="71"/>
      <c r="H1829" s="71"/>
      <c r="I1829" s="71"/>
      <c r="J1829" s="71"/>
    </row>
    <row r="1830" spans="4:10">
      <c r="D1830" s="71"/>
      <c r="E1830" s="71"/>
      <c r="F1830" s="71"/>
      <c r="G1830" s="71"/>
      <c r="H1830" s="71"/>
      <c r="I1830" s="71"/>
      <c r="J1830" s="71"/>
    </row>
    <row r="1831" spans="4:10">
      <c r="D1831" s="71"/>
      <c r="E1831" s="71"/>
      <c r="F1831" s="71"/>
      <c r="G1831" s="71"/>
      <c r="H1831" s="71"/>
      <c r="I1831" s="71"/>
      <c r="J1831" s="71"/>
    </row>
    <row r="1832" spans="4:10">
      <c r="D1832" s="71"/>
      <c r="E1832" s="71"/>
      <c r="F1832" s="71"/>
      <c r="G1832" s="71"/>
      <c r="H1832" s="71"/>
      <c r="I1832" s="71"/>
      <c r="J1832" s="71"/>
    </row>
    <row r="1833" spans="4:10">
      <c r="D1833" s="71"/>
      <c r="E1833" s="71"/>
      <c r="F1833" s="71"/>
      <c r="G1833" s="71"/>
      <c r="H1833" s="71"/>
      <c r="I1833" s="71"/>
      <c r="J1833" s="71"/>
    </row>
    <row r="1834" spans="4:10">
      <c r="D1834" s="71"/>
      <c r="E1834" s="71"/>
      <c r="F1834" s="71"/>
      <c r="G1834" s="71"/>
      <c r="H1834" s="71"/>
      <c r="I1834" s="71"/>
      <c r="J1834" s="71"/>
    </row>
    <row r="1835" spans="4:10">
      <c r="D1835" s="71"/>
      <c r="E1835" s="71"/>
      <c r="F1835" s="71"/>
      <c r="G1835" s="71"/>
      <c r="H1835" s="71"/>
      <c r="I1835" s="71"/>
      <c r="J1835" s="71"/>
    </row>
    <row r="1836" spans="4:10">
      <c r="D1836" s="71"/>
      <c r="E1836" s="71"/>
      <c r="F1836" s="71"/>
      <c r="G1836" s="71"/>
      <c r="H1836" s="71"/>
      <c r="I1836" s="71"/>
      <c r="J1836" s="71"/>
    </row>
    <row r="1837" spans="4:10">
      <c r="D1837" s="71"/>
      <c r="E1837" s="71"/>
      <c r="F1837" s="71"/>
      <c r="G1837" s="71"/>
      <c r="H1837" s="71"/>
      <c r="I1837" s="71"/>
      <c r="J1837" s="71"/>
    </row>
    <row r="1838" spans="4:10">
      <c r="D1838" s="71"/>
      <c r="E1838" s="71"/>
      <c r="F1838" s="71"/>
      <c r="G1838" s="71"/>
      <c r="H1838" s="71"/>
      <c r="I1838" s="71"/>
      <c r="J1838" s="71"/>
    </row>
    <row r="1839" spans="4:10">
      <c r="D1839" s="71"/>
      <c r="E1839" s="71"/>
      <c r="F1839" s="71"/>
      <c r="G1839" s="71"/>
      <c r="H1839" s="71"/>
      <c r="I1839" s="71"/>
      <c r="J1839" s="71"/>
    </row>
    <row r="1840" spans="4:10">
      <c r="D1840" s="71"/>
      <c r="E1840" s="71"/>
      <c r="F1840" s="71"/>
      <c r="G1840" s="71"/>
      <c r="H1840" s="71"/>
      <c r="I1840" s="71"/>
      <c r="J1840" s="71"/>
    </row>
    <row r="1841" spans="4:10">
      <c r="D1841" s="71"/>
      <c r="E1841" s="71"/>
      <c r="F1841" s="71"/>
      <c r="G1841" s="71"/>
      <c r="H1841" s="71"/>
      <c r="I1841" s="71"/>
      <c r="J1841" s="71"/>
    </row>
    <row r="1842" spans="4:10">
      <c r="D1842" s="71"/>
      <c r="E1842" s="71"/>
      <c r="F1842" s="71"/>
      <c r="G1842" s="71"/>
      <c r="H1842" s="71"/>
      <c r="I1842" s="71"/>
      <c r="J1842" s="71"/>
    </row>
    <row r="1843" spans="4:10">
      <c r="D1843" s="71"/>
      <c r="E1843" s="71"/>
      <c r="F1843" s="71"/>
      <c r="G1843" s="71"/>
      <c r="H1843" s="71"/>
      <c r="I1843" s="71"/>
      <c r="J1843" s="71"/>
    </row>
    <row r="1844" spans="4:10">
      <c r="D1844" s="71"/>
      <c r="E1844" s="71"/>
      <c r="F1844" s="71"/>
      <c r="G1844" s="71"/>
      <c r="H1844" s="71"/>
      <c r="I1844" s="71"/>
      <c r="J1844" s="71"/>
    </row>
    <row r="1845" spans="4:10">
      <c r="D1845" s="71"/>
      <c r="E1845" s="71"/>
      <c r="F1845" s="71"/>
      <c r="G1845" s="71"/>
      <c r="H1845" s="71"/>
      <c r="I1845" s="71"/>
      <c r="J1845" s="71"/>
    </row>
    <row r="1846" spans="4:10">
      <c r="D1846" s="71"/>
      <c r="E1846" s="71"/>
      <c r="F1846" s="71"/>
      <c r="G1846" s="71"/>
      <c r="H1846" s="71"/>
      <c r="I1846" s="71"/>
      <c r="J1846" s="71"/>
    </row>
    <row r="1847" spans="4:10">
      <c r="D1847" s="71"/>
      <c r="E1847" s="71"/>
      <c r="F1847" s="71"/>
      <c r="G1847" s="71"/>
      <c r="H1847" s="71"/>
      <c r="I1847" s="71"/>
      <c r="J1847" s="71"/>
    </row>
    <row r="1848" spans="4:10">
      <c r="D1848" s="71"/>
      <c r="E1848" s="71"/>
      <c r="F1848" s="71"/>
      <c r="G1848" s="71"/>
      <c r="H1848" s="71"/>
      <c r="I1848" s="71"/>
      <c r="J1848" s="71"/>
    </row>
    <row r="1849" spans="4:10">
      <c r="D1849" s="71"/>
      <c r="E1849" s="71"/>
      <c r="F1849" s="71"/>
      <c r="G1849" s="71"/>
      <c r="H1849" s="71"/>
      <c r="I1849" s="71"/>
      <c r="J1849" s="71"/>
    </row>
    <row r="1850" spans="4:10">
      <c r="D1850" s="71"/>
      <c r="E1850" s="71"/>
      <c r="F1850" s="71"/>
      <c r="G1850" s="71"/>
      <c r="H1850" s="71"/>
      <c r="I1850" s="71"/>
      <c r="J1850" s="71"/>
    </row>
    <row r="1851" spans="4:10">
      <c r="D1851" s="71"/>
      <c r="E1851" s="71"/>
      <c r="F1851" s="71"/>
      <c r="G1851" s="71"/>
      <c r="H1851" s="71"/>
      <c r="I1851" s="71"/>
      <c r="J1851" s="71"/>
    </row>
    <row r="1852" spans="4:10">
      <c r="D1852" s="71"/>
      <c r="E1852" s="71"/>
      <c r="F1852" s="71"/>
      <c r="G1852" s="71"/>
      <c r="H1852" s="71"/>
      <c r="I1852" s="71"/>
      <c r="J1852" s="71"/>
    </row>
    <row r="1853" spans="4:10">
      <c r="D1853" s="71"/>
      <c r="E1853" s="71"/>
      <c r="F1853" s="71"/>
      <c r="G1853" s="71"/>
      <c r="H1853" s="71"/>
      <c r="I1853" s="71"/>
      <c r="J1853" s="71"/>
    </row>
    <row r="1854" spans="4:10">
      <c r="D1854" s="71"/>
      <c r="E1854" s="71"/>
      <c r="F1854" s="71"/>
      <c r="G1854" s="71"/>
      <c r="H1854" s="71"/>
      <c r="I1854" s="71"/>
      <c r="J1854" s="71"/>
    </row>
    <row r="1855" spans="4:10">
      <c r="D1855" s="71"/>
      <c r="E1855" s="71"/>
      <c r="F1855" s="71"/>
      <c r="G1855" s="71"/>
      <c r="H1855" s="71"/>
      <c r="I1855" s="71"/>
      <c r="J1855" s="71"/>
    </row>
    <row r="1856" spans="4:10">
      <c r="D1856" s="71"/>
      <c r="E1856" s="71"/>
      <c r="F1856" s="71"/>
      <c r="G1856" s="71"/>
      <c r="H1856" s="71"/>
      <c r="I1856" s="71"/>
      <c r="J1856" s="71"/>
    </row>
    <row r="1857" spans="4:10">
      <c r="D1857" s="71"/>
      <c r="E1857" s="71"/>
      <c r="F1857" s="71"/>
      <c r="G1857" s="71"/>
      <c r="H1857" s="71"/>
      <c r="I1857" s="71"/>
      <c r="J1857" s="71"/>
    </row>
    <row r="1858" spans="4:10">
      <c r="D1858" s="71"/>
      <c r="E1858" s="71"/>
      <c r="F1858" s="71"/>
      <c r="G1858" s="71"/>
      <c r="H1858" s="71"/>
      <c r="I1858" s="71"/>
      <c r="J1858" s="71"/>
    </row>
    <row r="1859" spans="4:10">
      <c r="D1859" s="71"/>
      <c r="E1859" s="71"/>
      <c r="F1859" s="71"/>
      <c r="G1859" s="71"/>
      <c r="H1859" s="71"/>
      <c r="I1859" s="71"/>
      <c r="J1859" s="71"/>
    </row>
    <row r="1860" spans="4:10">
      <c r="D1860" s="71"/>
      <c r="E1860" s="71"/>
      <c r="F1860" s="71"/>
      <c r="G1860" s="71"/>
      <c r="H1860" s="71"/>
      <c r="I1860" s="71"/>
      <c r="J1860" s="71"/>
    </row>
    <row r="1861" spans="4:10">
      <c r="D1861" s="71"/>
      <c r="E1861" s="71"/>
      <c r="F1861" s="71"/>
      <c r="G1861" s="71"/>
      <c r="H1861" s="71"/>
      <c r="I1861" s="71"/>
      <c r="J1861" s="71"/>
    </row>
    <row r="1862" spans="4:10">
      <c r="D1862" s="71"/>
      <c r="E1862" s="71"/>
      <c r="F1862" s="71"/>
      <c r="G1862" s="71"/>
      <c r="H1862" s="71"/>
      <c r="I1862" s="71"/>
      <c r="J1862" s="71"/>
    </row>
    <row r="1863" spans="4:10">
      <c r="D1863" s="71"/>
      <c r="E1863" s="71"/>
      <c r="F1863" s="71"/>
      <c r="G1863" s="71"/>
      <c r="H1863" s="71"/>
      <c r="I1863" s="71"/>
      <c r="J1863" s="71"/>
    </row>
    <row r="1864" spans="4:10">
      <c r="D1864" s="71"/>
      <c r="E1864" s="71"/>
      <c r="F1864" s="71"/>
      <c r="G1864" s="71"/>
      <c r="H1864" s="71"/>
      <c r="I1864" s="71"/>
      <c r="J1864" s="71"/>
    </row>
    <row r="1865" spans="4:10">
      <c r="D1865" s="71"/>
      <c r="E1865" s="71"/>
      <c r="F1865" s="71"/>
      <c r="G1865" s="71"/>
      <c r="H1865" s="71"/>
      <c r="I1865" s="71"/>
      <c r="J1865" s="71"/>
    </row>
    <row r="1866" spans="4:10">
      <c r="D1866" s="71"/>
      <c r="E1866" s="71"/>
      <c r="F1866" s="71"/>
      <c r="G1866" s="71"/>
      <c r="H1866" s="71"/>
      <c r="I1866" s="71"/>
      <c r="J1866" s="71"/>
    </row>
    <row r="1867" spans="4:10">
      <c r="D1867" s="71"/>
      <c r="E1867" s="71"/>
      <c r="F1867" s="71"/>
      <c r="G1867" s="71"/>
      <c r="H1867" s="71"/>
      <c r="I1867" s="71"/>
      <c r="J1867" s="71"/>
    </row>
    <row r="1868" spans="4:10">
      <c r="D1868" s="71"/>
      <c r="E1868" s="71"/>
      <c r="F1868" s="71"/>
      <c r="G1868" s="71"/>
      <c r="H1868" s="71"/>
      <c r="I1868" s="71"/>
      <c r="J1868" s="71"/>
    </row>
    <row r="1869" spans="4:10">
      <c r="D1869" s="71"/>
      <c r="E1869" s="71"/>
      <c r="F1869" s="71"/>
      <c r="G1869" s="71"/>
      <c r="H1869" s="71"/>
      <c r="I1869" s="71"/>
      <c r="J1869" s="71"/>
    </row>
    <row r="1870" spans="4:10">
      <c r="D1870" s="71"/>
      <c r="E1870" s="71"/>
      <c r="F1870" s="71"/>
      <c r="G1870" s="71"/>
      <c r="H1870" s="71"/>
      <c r="I1870" s="71"/>
      <c r="J1870" s="71"/>
    </row>
    <row r="1871" spans="4:10">
      <c r="D1871" s="71"/>
      <c r="E1871" s="71"/>
      <c r="F1871" s="71"/>
      <c r="G1871" s="71"/>
      <c r="H1871" s="71"/>
      <c r="I1871" s="71"/>
      <c r="J1871" s="71"/>
    </row>
    <row r="1872" spans="4:10">
      <c r="D1872" s="71"/>
      <c r="E1872" s="71"/>
      <c r="F1872" s="71"/>
      <c r="G1872" s="71"/>
      <c r="H1872" s="71"/>
      <c r="I1872" s="71"/>
      <c r="J1872" s="71"/>
    </row>
    <row r="1873" spans="4:10">
      <c r="D1873" s="71"/>
      <c r="E1873" s="71"/>
      <c r="F1873" s="71"/>
      <c r="G1873" s="71"/>
      <c r="H1873" s="71"/>
      <c r="I1873" s="71"/>
      <c r="J1873" s="71"/>
    </row>
    <row r="1874" spans="4:10">
      <c r="D1874" s="71"/>
      <c r="E1874" s="71"/>
      <c r="F1874" s="71"/>
      <c r="G1874" s="71"/>
      <c r="H1874" s="71"/>
      <c r="I1874" s="71"/>
      <c r="J1874" s="71"/>
    </row>
    <row r="1875" spans="4:10">
      <c r="D1875" s="71"/>
      <c r="E1875" s="71"/>
      <c r="F1875" s="71"/>
      <c r="G1875" s="71"/>
      <c r="H1875" s="71"/>
      <c r="I1875" s="71"/>
      <c r="J1875" s="71"/>
    </row>
    <row r="1876" spans="4:10">
      <c r="D1876" s="71"/>
      <c r="E1876" s="71"/>
      <c r="F1876" s="71"/>
      <c r="G1876" s="71"/>
      <c r="H1876" s="71"/>
      <c r="I1876" s="71"/>
      <c r="J1876" s="71"/>
    </row>
    <row r="1877" spans="4:10">
      <c r="D1877" s="71"/>
      <c r="E1877" s="71"/>
      <c r="F1877" s="71"/>
      <c r="G1877" s="71"/>
      <c r="H1877" s="71"/>
      <c r="I1877" s="71"/>
      <c r="J1877" s="71"/>
    </row>
    <row r="1878" spans="4:10">
      <c r="D1878" s="71"/>
      <c r="E1878" s="71"/>
      <c r="F1878" s="71"/>
      <c r="G1878" s="71"/>
      <c r="H1878" s="71"/>
      <c r="I1878" s="71"/>
      <c r="J1878" s="71"/>
    </row>
    <row r="1879" spans="4:10">
      <c r="D1879" s="71"/>
      <c r="E1879" s="71"/>
      <c r="F1879" s="71"/>
      <c r="G1879" s="71"/>
      <c r="H1879" s="71"/>
      <c r="I1879" s="71"/>
      <c r="J1879" s="71"/>
    </row>
    <row r="1880" spans="4:10">
      <c r="D1880" s="71"/>
      <c r="E1880" s="71"/>
      <c r="F1880" s="71"/>
      <c r="G1880" s="71"/>
      <c r="H1880" s="71"/>
      <c r="I1880" s="71"/>
      <c r="J1880" s="71"/>
    </row>
    <row r="1881" spans="4:10">
      <c r="D1881" s="71"/>
      <c r="E1881" s="71"/>
      <c r="F1881" s="71"/>
      <c r="G1881" s="71"/>
      <c r="H1881" s="71"/>
      <c r="I1881" s="71"/>
      <c r="J1881" s="71"/>
    </row>
    <row r="1882" spans="4:10">
      <c r="D1882" s="71"/>
      <c r="E1882" s="71"/>
      <c r="F1882" s="71"/>
      <c r="G1882" s="71"/>
      <c r="H1882" s="71"/>
      <c r="I1882" s="71"/>
      <c r="J1882" s="71"/>
    </row>
    <row r="1883" spans="4:10">
      <c r="D1883" s="71"/>
      <c r="E1883" s="71"/>
      <c r="F1883" s="71"/>
      <c r="G1883" s="71"/>
      <c r="H1883" s="71"/>
      <c r="I1883" s="71"/>
      <c r="J1883" s="71"/>
    </row>
    <row r="1884" spans="4:10">
      <c r="D1884" s="71"/>
      <c r="E1884" s="71"/>
      <c r="F1884" s="71"/>
      <c r="G1884" s="71"/>
      <c r="H1884" s="71"/>
      <c r="I1884" s="71"/>
      <c r="J1884" s="71"/>
    </row>
    <row r="1885" spans="4:10">
      <c r="D1885" s="71"/>
      <c r="E1885" s="71"/>
      <c r="F1885" s="71"/>
      <c r="G1885" s="71"/>
      <c r="H1885" s="71"/>
      <c r="I1885" s="71"/>
      <c r="J1885" s="71"/>
    </row>
    <row r="1886" spans="4:10">
      <c r="D1886" s="71"/>
      <c r="E1886" s="71"/>
      <c r="F1886" s="71"/>
      <c r="G1886" s="71"/>
      <c r="H1886" s="71"/>
      <c r="I1886" s="71"/>
      <c r="J1886" s="71"/>
    </row>
    <row r="1887" spans="4:10">
      <c r="D1887" s="71"/>
      <c r="E1887" s="71"/>
      <c r="F1887" s="71"/>
      <c r="G1887" s="71"/>
      <c r="H1887" s="71"/>
      <c r="I1887" s="71"/>
      <c r="J1887" s="71"/>
    </row>
    <row r="1888" spans="4:10">
      <c r="D1888" s="71"/>
      <c r="E1888" s="71"/>
      <c r="F1888" s="71"/>
      <c r="G1888" s="71"/>
      <c r="H1888" s="71"/>
      <c r="I1888" s="71"/>
      <c r="J1888" s="71"/>
    </row>
    <row r="1889" spans="4:10">
      <c r="D1889" s="71"/>
      <c r="E1889" s="71"/>
      <c r="F1889" s="71"/>
      <c r="G1889" s="71"/>
      <c r="H1889" s="71"/>
      <c r="I1889" s="71"/>
      <c r="J1889" s="71"/>
    </row>
    <row r="1890" spans="4:10">
      <c r="D1890" s="71"/>
      <c r="E1890" s="71"/>
      <c r="F1890" s="71"/>
      <c r="G1890" s="71"/>
      <c r="H1890" s="71"/>
      <c r="I1890" s="71"/>
      <c r="J1890" s="71"/>
    </row>
    <row r="1891" spans="4:10">
      <c r="D1891" s="71"/>
      <c r="E1891" s="71"/>
      <c r="F1891" s="71"/>
      <c r="G1891" s="71"/>
      <c r="H1891" s="71"/>
      <c r="I1891" s="71"/>
      <c r="J1891" s="71"/>
    </row>
    <row r="1892" spans="4:10">
      <c r="D1892" s="71"/>
      <c r="E1892" s="71"/>
      <c r="F1892" s="71"/>
      <c r="G1892" s="71"/>
      <c r="H1892" s="71"/>
      <c r="I1892" s="71"/>
      <c r="J1892" s="71"/>
    </row>
    <row r="1893" spans="4:10">
      <c r="D1893" s="71"/>
      <c r="E1893" s="71"/>
      <c r="F1893" s="71"/>
      <c r="G1893" s="71"/>
      <c r="H1893" s="71"/>
      <c r="I1893" s="71"/>
      <c r="J1893" s="71"/>
    </row>
    <row r="1894" spans="4:10">
      <c r="D1894" s="71"/>
      <c r="E1894" s="71"/>
      <c r="F1894" s="71"/>
      <c r="G1894" s="71"/>
      <c r="H1894" s="71"/>
      <c r="I1894" s="71"/>
      <c r="J1894" s="71"/>
    </row>
    <row r="1895" spans="4:10">
      <c r="D1895" s="71"/>
      <c r="E1895" s="71"/>
      <c r="F1895" s="71"/>
      <c r="G1895" s="71"/>
      <c r="H1895" s="71"/>
      <c r="I1895" s="71"/>
      <c r="J1895" s="71"/>
    </row>
    <row r="1896" spans="4:10">
      <c r="D1896" s="71"/>
      <c r="E1896" s="71"/>
      <c r="F1896" s="71"/>
      <c r="G1896" s="71"/>
      <c r="H1896" s="71"/>
      <c r="I1896" s="71"/>
      <c r="J1896" s="71"/>
    </row>
    <row r="1897" spans="4:10">
      <c r="D1897" s="71"/>
      <c r="E1897" s="71"/>
      <c r="F1897" s="71"/>
      <c r="G1897" s="71"/>
      <c r="H1897" s="71"/>
      <c r="I1897" s="71"/>
      <c r="J1897" s="71"/>
    </row>
    <row r="1898" spans="4:10">
      <c r="D1898" s="71"/>
      <c r="E1898" s="71"/>
      <c r="F1898" s="71"/>
      <c r="G1898" s="71"/>
      <c r="H1898" s="71"/>
      <c r="I1898" s="71"/>
      <c r="J1898" s="71"/>
    </row>
    <row r="1899" spans="4:10">
      <c r="D1899" s="71"/>
      <c r="E1899" s="71"/>
      <c r="F1899" s="71"/>
      <c r="G1899" s="71"/>
      <c r="H1899" s="71"/>
      <c r="I1899" s="71"/>
      <c r="J1899" s="71"/>
    </row>
    <row r="1900" spans="4:10">
      <c r="D1900" s="71"/>
      <c r="E1900" s="71"/>
      <c r="F1900" s="71"/>
      <c r="G1900" s="71"/>
      <c r="H1900" s="71"/>
      <c r="I1900" s="71"/>
      <c r="J1900" s="71"/>
    </row>
    <row r="1901" spans="4:10">
      <c r="D1901" s="71"/>
      <c r="E1901" s="71"/>
      <c r="F1901" s="71"/>
      <c r="G1901" s="71"/>
      <c r="H1901" s="71"/>
      <c r="I1901" s="71"/>
      <c r="J1901" s="71"/>
    </row>
    <row r="1902" spans="4:10">
      <c r="D1902" s="71"/>
      <c r="E1902" s="71"/>
      <c r="F1902" s="71"/>
      <c r="G1902" s="71"/>
      <c r="H1902" s="71"/>
      <c r="I1902" s="71"/>
      <c r="J1902" s="71"/>
    </row>
    <row r="1903" spans="4:10">
      <c r="D1903" s="71"/>
      <c r="E1903" s="71"/>
      <c r="F1903" s="71"/>
      <c r="G1903" s="71"/>
      <c r="H1903" s="71"/>
      <c r="I1903" s="71"/>
      <c r="J1903" s="71"/>
    </row>
    <row r="1904" spans="4:10">
      <c r="D1904" s="71"/>
      <c r="E1904" s="71"/>
      <c r="F1904" s="71"/>
      <c r="G1904" s="71"/>
      <c r="H1904" s="71"/>
      <c r="I1904" s="71"/>
      <c r="J1904" s="71"/>
    </row>
    <row r="1905" spans="4:10">
      <c r="D1905" s="71"/>
      <c r="E1905" s="71"/>
      <c r="F1905" s="71"/>
      <c r="G1905" s="71"/>
      <c r="H1905" s="71"/>
      <c r="I1905" s="71"/>
      <c r="J1905" s="71"/>
    </row>
    <row r="1906" spans="4:10">
      <c r="D1906" s="71"/>
      <c r="E1906" s="71"/>
      <c r="F1906" s="71"/>
      <c r="G1906" s="71"/>
      <c r="H1906" s="71"/>
      <c r="I1906" s="71"/>
      <c r="J1906" s="71"/>
    </row>
    <row r="1907" spans="4:10">
      <c r="D1907" s="71"/>
      <c r="E1907" s="71"/>
      <c r="F1907" s="71"/>
      <c r="G1907" s="71"/>
      <c r="H1907" s="71"/>
      <c r="I1907" s="71"/>
      <c r="J1907" s="71"/>
    </row>
    <row r="1908" spans="4:10">
      <c r="D1908" s="71"/>
      <c r="E1908" s="71"/>
      <c r="F1908" s="71"/>
      <c r="G1908" s="71"/>
      <c r="H1908" s="71"/>
      <c r="I1908" s="71"/>
      <c r="J1908" s="71"/>
    </row>
    <row r="1909" spans="4:10">
      <c r="D1909" s="71"/>
      <c r="E1909" s="71"/>
      <c r="F1909" s="71"/>
      <c r="G1909" s="71"/>
      <c r="H1909" s="71"/>
      <c r="I1909" s="71"/>
      <c r="J1909" s="71"/>
    </row>
    <row r="1910" spans="4:10">
      <c r="D1910" s="71"/>
      <c r="E1910" s="71"/>
      <c r="F1910" s="71"/>
      <c r="G1910" s="71"/>
      <c r="H1910" s="71"/>
      <c r="I1910" s="71"/>
      <c r="J1910" s="71"/>
    </row>
    <row r="1911" spans="4:10">
      <c r="D1911" s="71"/>
      <c r="E1911" s="71"/>
      <c r="F1911" s="71"/>
      <c r="G1911" s="71"/>
      <c r="H1911" s="71"/>
      <c r="I1911" s="71"/>
      <c r="J1911" s="71"/>
    </row>
    <row r="1912" spans="4:10">
      <c r="D1912" s="71"/>
      <c r="E1912" s="71"/>
      <c r="F1912" s="71"/>
      <c r="G1912" s="71"/>
      <c r="H1912" s="71"/>
      <c r="I1912" s="71"/>
      <c r="J1912" s="71"/>
    </row>
    <row r="1913" spans="4:10">
      <c r="D1913" s="71"/>
      <c r="E1913" s="71"/>
      <c r="F1913" s="71"/>
      <c r="G1913" s="71"/>
      <c r="H1913" s="71"/>
      <c r="I1913" s="71"/>
      <c r="J1913" s="71"/>
    </row>
    <row r="1914" spans="4:10">
      <c r="D1914" s="71"/>
      <c r="E1914" s="71"/>
      <c r="F1914" s="71"/>
      <c r="G1914" s="71"/>
      <c r="H1914" s="71"/>
      <c r="I1914" s="71"/>
      <c r="J1914" s="71"/>
    </row>
    <row r="1915" spans="4:10">
      <c r="D1915" s="71"/>
      <c r="E1915" s="71"/>
      <c r="F1915" s="71"/>
      <c r="G1915" s="71"/>
      <c r="H1915" s="71"/>
      <c r="I1915" s="71"/>
      <c r="J1915" s="71"/>
    </row>
    <row r="1916" spans="4:10">
      <c r="D1916" s="71"/>
      <c r="E1916" s="71"/>
      <c r="F1916" s="71"/>
      <c r="G1916" s="71"/>
      <c r="H1916" s="71"/>
      <c r="I1916" s="71"/>
      <c r="J1916" s="71"/>
    </row>
    <row r="1917" spans="4:10">
      <c r="D1917" s="71"/>
      <c r="E1917" s="71"/>
      <c r="F1917" s="71"/>
      <c r="G1917" s="71"/>
      <c r="H1917" s="71"/>
      <c r="I1917" s="71"/>
      <c r="J1917" s="71"/>
    </row>
    <row r="1918" spans="4:10">
      <c r="D1918" s="71"/>
      <c r="E1918" s="71"/>
      <c r="F1918" s="71"/>
      <c r="G1918" s="71"/>
      <c r="H1918" s="71"/>
      <c r="I1918" s="71"/>
      <c r="J1918" s="71"/>
    </row>
    <row r="1919" spans="4:10">
      <c r="D1919" s="71"/>
      <c r="E1919" s="71"/>
      <c r="F1919" s="71"/>
      <c r="G1919" s="71"/>
      <c r="H1919" s="71"/>
      <c r="I1919" s="71"/>
      <c r="J1919" s="71"/>
    </row>
    <row r="1920" spans="4:10">
      <c r="D1920" s="71"/>
      <c r="E1920" s="71"/>
      <c r="F1920" s="71"/>
      <c r="G1920" s="71"/>
      <c r="H1920" s="71"/>
      <c r="I1920" s="71"/>
      <c r="J1920" s="71"/>
    </row>
    <row r="1921" spans="4:10">
      <c r="D1921" s="71"/>
      <c r="E1921" s="71"/>
      <c r="F1921" s="71"/>
      <c r="G1921" s="71"/>
      <c r="H1921" s="71"/>
      <c r="I1921" s="71"/>
      <c r="J1921" s="71"/>
    </row>
    <row r="1922" spans="4:10">
      <c r="D1922" s="71"/>
      <c r="E1922" s="71"/>
      <c r="F1922" s="71"/>
      <c r="G1922" s="71"/>
      <c r="H1922" s="71"/>
      <c r="I1922" s="71"/>
      <c r="J1922" s="71"/>
    </row>
    <row r="1923" spans="4:10">
      <c r="D1923" s="71"/>
      <c r="E1923" s="71"/>
      <c r="F1923" s="71"/>
      <c r="G1923" s="71"/>
      <c r="H1923" s="71"/>
      <c r="I1923" s="71"/>
      <c r="J1923" s="71"/>
    </row>
    <row r="1924" spans="4:10">
      <c r="D1924" s="71"/>
      <c r="E1924" s="71"/>
      <c r="F1924" s="71"/>
      <c r="G1924" s="71"/>
      <c r="H1924" s="71"/>
      <c r="I1924" s="71"/>
      <c r="J1924" s="71"/>
    </row>
    <row r="1925" spans="4:10">
      <c r="D1925" s="71"/>
      <c r="E1925" s="71"/>
      <c r="F1925" s="71"/>
      <c r="G1925" s="71"/>
      <c r="H1925" s="71"/>
      <c r="I1925" s="71"/>
      <c r="J1925" s="71"/>
    </row>
    <row r="1926" spans="4:10">
      <c r="D1926" s="71"/>
      <c r="E1926" s="71"/>
      <c r="F1926" s="71"/>
      <c r="G1926" s="71"/>
      <c r="H1926" s="71"/>
      <c r="I1926" s="71"/>
      <c r="J1926" s="71"/>
    </row>
    <row r="1927" spans="4:10">
      <c r="D1927" s="71"/>
      <c r="E1927" s="71"/>
      <c r="F1927" s="71"/>
      <c r="G1927" s="71"/>
      <c r="H1927" s="71"/>
      <c r="I1927" s="71"/>
      <c r="J1927" s="71"/>
    </row>
    <row r="1928" spans="4:10">
      <c r="D1928" s="71"/>
      <c r="E1928" s="71"/>
      <c r="F1928" s="71"/>
      <c r="G1928" s="71"/>
      <c r="H1928" s="71"/>
      <c r="I1928" s="71"/>
      <c r="J1928" s="71"/>
    </row>
    <row r="1929" spans="4:10">
      <c r="D1929" s="71"/>
      <c r="E1929" s="71"/>
      <c r="F1929" s="71"/>
      <c r="G1929" s="71"/>
      <c r="H1929" s="71"/>
      <c r="I1929" s="71"/>
      <c r="J1929" s="71"/>
    </row>
    <row r="1930" spans="4:10">
      <c r="D1930" s="71"/>
      <c r="E1930" s="71"/>
      <c r="F1930" s="71"/>
      <c r="G1930" s="71"/>
      <c r="H1930" s="71"/>
      <c r="I1930" s="71"/>
      <c r="J1930" s="71"/>
    </row>
    <row r="1931" spans="4:10">
      <c r="D1931" s="71"/>
      <c r="E1931" s="71"/>
      <c r="F1931" s="71"/>
      <c r="G1931" s="71"/>
      <c r="H1931" s="71"/>
      <c r="I1931" s="71"/>
      <c r="J1931" s="71"/>
    </row>
    <row r="1932" spans="4:10">
      <c r="D1932" s="71"/>
      <c r="E1932" s="71"/>
      <c r="F1932" s="71"/>
      <c r="G1932" s="71"/>
      <c r="H1932" s="71"/>
      <c r="I1932" s="71"/>
      <c r="J1932" s="71"/>
    </row>
    <row r="1933" spans="4:10">
      <c r="D1933" s="71"/>
      <c r="E1933" s="71"/>
      <c r="F1933" s="71"/>
      <c r="G1933" s="71"/>
      <c r="H1933" s="71"/>
      <c r="I1933" s="71"/>
      <c r="J1933" s="71"/>
    </row>
    <row r="1934" spans="4:10">
      <c r="D1934" s="71"/>
      <c r="E1934" s="71"/>
      <c r="F1934" s="71"/>
      <c r="G1934" s="71"/>
      <c r="H1934" s="71"/>
      <c r="I1934" s="71"/>
      <c r="J1934" s="71"/>
    </row>
    <row r="1935" spans="4:10">
      <c r="D1935" s="71"/>
      <c r="E1935" s="71"/>
      <c r="F1935" s="71"/>
      <c r="G1935" s="71"/>
      <c r="H1935" s="71"/>
      <c r="I1935" s="71"/>
      <c r="J1935" s="71"/>
    </row>
    <row r="1936" spans="4:10">
      <c r="D1936" s="71"/>
      <c r="E1936" s="71"/>
      <c r="F1936" s="71"/>
      <c r="G1936" s="71"/>
      <c r="H1936" s="71"/>
      <c r="I1936" s="71"/>
      <c r="J1936" s="71"/>
    </row>
    <row r="1937" spans="4:10">
      <c r="D1937" s="71"/>
      <c r="E1937" s="71"/>
      <c r="F1937" s="71"/>
      <c r="G1937" s="71"/>
      <c r="H1937" s="71"/>
      <c r="I1937" s="71"/>
      <c r="J1937" s="71"/>
    </row>
    <row r="1938" spans="4:10">
      <c r="D1938" s="71"/>
      <c r="E1938" s="71"/>
      <c r="F1938" s="71"/>
      <c r="G1938" s="71"/>
      <c r="H1938" s="71"/>
      <c r="I1938" s="71"/>
      <c r="J1938" s="71"/>
    </row>
    <row r="1939" spans="4:10">
      <c r="D1939" s="71"/>
      <c r="E1939" s="71"/>
      <c r="F1939" s="71"/>
      <c r="G1939" s="71"/>
      <c r="H1939" s="71"/>
      <c r="I1939" s="71"/>
      <c r="J1939" s="71"/>
    </row>
    <row r="1940" spans="4:10">
      <c r="D1940" s="71"/>
      <c r="E1940" s="71"/>
      <c r="F1940" s="71"/>
      <c r="G1940" s="71"/>
      <c r="H1940" s="71"/>
      <c r="I1940" s="71"/>
      <c r="J1940" s="71"/>
    </row>
    <row r="1941" spans="4:10">
      <c r="D1941" s="71"/>
      <c r="E1941" s="71"/>
      <c r="F1941" s="71"/>
      <c r="G1941" s="71"/>
      <c r="H1941" s="71"/>
      <c r="I1941" s="71"/>
      <c r="J1941" s="71"/>
    </row>
    <row r="1942" spans="4:10">
      <c r="D1942" s="71"/>
      <c r="E1942" s="71"/>
      <c r="F1942" s="71"/>
      <c r="G1942" s="71"/>
      <c r="H1942" s="71"/>
      <c r="I1942" s="71"/>
      <c r="J1942" s="71"/>
    </row>
    <row r="1943" spans="4:10">
      <c r="D1943" s="71"/>
      <c r="E1943" s="71"/>
      <c r="F1943" s="71"/>
      <c r="G1943" s="71"/>
      <c r="H1943" s="71"/>
      <c r="I1943" s="71"/>
      <c r="J1943" s="71"/>
    </row>
    <row r="1944" spans="4:10">
      <c r="D1944" s="71"/>
      <c r="E1944" s="71"/>
      <c r="F1944" s="71"/>
      <c r="G1944" s="71"/>
      <c r="H1944" s="71"/>
      <c r="I1944" s="71"/>
      <c r="J1944" s="71"/>
    </row>
    <row r="1945" spans="4:10">
      <c r="D1945" s="71"/>
      <c r="E1945" s="71"/>
      <c r="F1945" s="71"/>
      <c r="G1945" s="71"/>
      <c r="H1945" s="71"/>
      <c r="I1945" s="71"/>
      <c r="J1945" s="71"/>
    </row>
    <row r="1946" spans="4:10">
      <c r="D1946" s="71"/>
      <c r="E1946" s="71"/>
      <c r="F1946" s="71"/>
      <c r="G1946" s="71"/>
      <c r="H1946" s="71"/>
      <c r="I1946" s="71"/>
      <c r="J1946" s="71"/>
    </row>
    <row r="1947" spans="4:10">
      <c r="D1947" s="71"/>
      <c r="E1947" s="71"/>
      <c r="F1947" s="71"/>
      <c r="G1947" s="71"/>
      <c r="H1947" s="71"/>
      <c r="I1947" s="71"/>
      <c r="J1947" s="71"/>
    </row>
    <row r="1948" spans="4:10">
      <c r="D1948" s="71"/>
      <c r="E1948" s="71"/>
      <c r="F1948" s="71"/>
      <c r="G1948" s="71"/>
      <c r="H1948" s="71"/>
      <c r="I1948" s="71"/>
      <c r="J1948" s="71"/>
    </row>
    <row r="1949" spans="4:10">
      <c r="D1949" s="71"/>
      <c r="E1949" s="71"/>
      <c r="F1949" s="71"/>
      <c r="G1949" s="71"/>
      <c r="H1949" s="71"/>
      <c r="I1949" s="71"/>
      <c r="J1949" s="71"/>
    </row>
    <row r="1950" spans="4:10">
      <c r="D1950" s="71"/>
      <c r="E1950" s="71"/>
      <c r="F1950" s="71"/>
      <c r="G1950" s="71"/>
      <c r="H1950" s="71"/>
      <c r="I1950" s="71"/>
      <c r="J1950" s="71"/>
    </row>
    <row r="1951" spans="4:10">
      <c r="D1951" s="71"/>
      <c r="E1951" s="71"/>
      <c r="F1951" s="71"/>
      <c r="G1951" s="71"/>
      <c r="H1951" s="71"/>
      <c r="I1951" s="71"/>
      <c r="J1951" s="71"/>
    </row>
    <row r="1952" spans="4:10">
      <c r="D1952" s="71"/>
      <c r="E1952" s="71"/>
      <c r="F1952" s="71"/>
      <c r="G1952" s="71"/>
      <c r="H1952" s="71"/>
      <c r="I1952" s="71"/>
      <c r="J1952" s="71"/>
    </row>
    <row r="1953" spans="4:10">
      <c r="D1953" s="71"/>
      <c r="E1953" s="71"/>
      <c r="F1953" s="71"/>
      <c r="G1953" s="71"/>
      <c r="H1953" s="71"/>
      <c r="I1953" s="71"/>
      <c r="J1953" s="71"/>
    </row>
    <row r="1954" spans="4:10">
      <c r="D1954" s="71"/>
      <c r="E1954" s="71"/>
      <c r="F1954" s="71"/>
      <c r="G1954" s="71"/>
      <c r="H1954" s="71"/>
      <c r="I1954" s="71"/>
      <c r="J1954" s="71"/>
    </row>
    <row r="1955" spans="4:10">
      <c r="D1955" s="71"/>
      <c r="E1955" s="71"/>
      <c r="F1955" s="71"/>
      <c r="G1955" s="71"/>
      <c r="H1955" s="71"/>
      <c r="I1955" s="71"/>
      <c r="J1955" s="71"/>
    </row>
    <row r="1956" spans="4:10">
      <c r="D1956" s="71"/>
      <c r="E1956" s="71"/>
      <c r="F1956" s="71"/>
      <c r="G1956" s="71"/>
      <c r="H1956" s="71"/>
      <c r="I1956" s="71"/>
      <c r="J1956" s="71"/>
    </row>
    <row r="1957" spans="4:10">
      <c r="D1957" s="71"/>
      <c r="E1957" s="71"/>
      <c r="F1957" s="71"/>
      <c r="G1957" s="71"/>
      <c r="H1957" s="71"/>
      <c r="I1957" s="71"/>
      <c r="J1957" s="71"/>
    </row>
    <row r="1958" spans="4:10">
      <c r="D1958" s="71"/>
      <c r="E1958" s="71"/>
      <c r="F1958" s="71"/>
      <c r="G1958" s="71"/>
      <c r="H1958" s="71"/>
      <c r="I1958" s="71"/>
      <c r="J1958" s="71"/>
    </row>
    <row r="1959" spans="4:10">
      <c r="D1959" s="71"/>
      <c r="E1959" s="71"/>
      <c r="F1959" s="71"/>
      <c r="G1959" s="71"/>
      <c r="H1959" s="71"/>
      <c r="I1959" s="71"/>
      <c r="J1959" s="71"/>
    </row>
    <row r="1960" spans="4:10">
      <c r="D1960" s="71"/>
      <c r="E1960" s="71"/>
      <c r="F1960" s="71"/>
      <c r="G1960" s="71"/>
      <c r="H1960" s="71"/>
      <c r="I1960" s="71"/>
      <c r="J1960" s="71"/>
    </row>
    <row r="1961" spans="4:10">
      <c r="D1961" s="71"/>
      <c r="E1961" s="71"/>
      <c r="F1961" s="71"/>
      <c r="G1961" s="71"/>
      <c r="H1961" s="71"/>
      <c r="I1961" s="71"/>
      <c r="J1961" s="71"/>
    </row>
    <row r="1962" spans="4:10">
      <c r="D1962" s="71"/>
      <c r="E1962" s="71"/>
      <c r="F1962" s="71"/>
      <c r="G1962" s="71"/>
      <c r="H1962" s="71"/>
      <c r="I1962" s="71"/>
      <c r="J1962" s="71"/>
    </row>
    <row r="1963" spans="4:10">
      <c r="D1963" s="71"/>
      <c r="E1963" s="71"/>
      <c r="F1963" s="71"/>
      <c r="G1963" s="71"/>
      <c r="H1963" s="71"/>
      <c r="I1963" s="71"/>
      <c r="J1963" s="71"/>
    </row>
    <row r="1964" spans="4:10">
      <c r="D1964" s="71"/>
      <c r="E1964" s="71"/>
      <c r="F1964" s="71"/>
      <c r="G1964" s="71"/>
      <c r="H1964" s="71"/>
      <c r="I1964" s="71"/>
      <c r="J1964" s="71"/>
    </row>
    <row r="1965" spans="4:10">
      <c r="D1965" s="71"/>
      <c r="E1965" s="71"/>
      <c r="F1965" s="71"/>
      <c r="G1965" s="71"/>
      <c r="H1965" s="71"/>
      <c r="I1965" s="71"/>
      <c r="J1965" s="71"/>
    </row>
    <row r="1966" spans="4:10">
      <c r="D1966" s="71"/>
      <c r="E1966" s="71"/>
      <c r="F1966" s="71"/>
      <c r="G1966" s="71"/>
      <c r="H1966" s="71"/>
      <c r="I1966" s="71"/>
      <c r="J1966" s="71"/>
    </row>
    <row r="1967" spans="4:10">
      <c r="D1967" s="71"/>
      <c r="E1967" s="71"/>
      <c r="F1967" s="71"/>
      <c r="G1967" s="71"/>
      <c r="H1967" s="71"/>
      <c r="I1967" s="71"/>
      <c r="J1967" s="71"/>
    </row>
    <row r="1968" spans="4:10">
      <c r="D1968" s="71"/>
      <c r="E1968" s="71"/>
      <c r="F1968" s="71"/>
      <c r="G1968" s="71"/>
      <c r="H1968" s="71"/>
      <c r="I1968" s="71"/>
      <c r="J1968" s="71"/>
    </row>
    <row r="1969" spans="4:10">
      <c r="D1969" s="71"/>
      <c r="E1969" s="71"/>
      <c r="F1969" s="71"/>
      <c r="G1969" s="71"/>
      <c r="H1969" s="71"/>
      <c r="I1969" s="71"/>
      <c r="J1969" s="71"/>
    </row>
    <row r="1970" spans="4:10">
      <c r="D1970" s="71"/>
      <c r="E1970" s="71"/>
      <c r="F1970" s="71"/>
      <c r="G1970" s="71"/>
      <c r="H1970" s="71"/>
      <c r="I1970" s="71"/>
      <c r="J1970" s="71"/>
    </row>
    <row r="1971" spans="4:10">
      <c r="D1971" s="71"/>
      <c r="E1971" s="71"/>
      <c r="F1971" s="71"/>
      <c r="G1971" s="71"/>
      <c r="H1971" s="71"/>
      <c r="I1971" s="71"/>
      <c r="J1971" s="71"/>
    </row>
  </sheetData>
  <mergeCells count="1">
    <mergeCell ref="K1:R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H60"/>
  <sheetViews>
    <sheetView workbookViewId="0">
      <selection activeCell="A3" sqref="A3:H3"/>
    </sheetView>
  </sheetViews>
  <sheetFormatPr defaultRowHeight="12.75"/>
  <cols>
    <col min="1" max="1" width="15" customWidth="1"/>
    <col min="2" max="2" width="12" customWidth="1"/>
    <col min="3" max="3" width="15.7109375" customWidth="1"/>
    <col min="4" max="4" width="10.28515625" customWidth="1"/>
    <col min="5" max="5" width="12.28515625" customWidth="1"/>
    <col min="6" max="6" width="20.5703125" customWidth="1"/>
    <col min="7" max="7" width="13.5703125" customWidth="1"/>
    <col min="8" max="8" width="28.28515625" customWidth="1"/>
  </cols>
  <sheetData>
    <row r="1" spans="1:8" ht="13.5" thickBot="1">
      <c r="A1" s="292" t="s">
        <v>120</v>
      </c>
      <c r="B1" s="292"/>
      <c r="C1" s="292"/>
      <c r="D1" s="292"/>
      <c r="E1" s="292"/>
      <c r="F1" s="292"/>
      <c r="G1" s="292"/>
      <c r="H1" s="292"/>
    </row>
    <row r="2" spans="1:8" ht="39" thickBot="1">
      <c r="A2" s="46" t="s">
        <v>121</v>
      </c>
      <c r="B2" s="46" t="s">
        <v>122</v>
      </c>
      <c r="C2" s="46" t="s">
        <v>123</v>
      </c>
      <c r="D2" s="46" t="s">
        <v>124</v>
      </c>
      <c r="E2" s="46" t="s">
        <v>125</v>
      </c>
      <c r="F2" s="46" t="s">
        <v>122</v>
      </c>
      <c r="G2" s="46" t="s">
        <v>126</v>
      </c>
      <c r="H2" s="46" t="s">
        <v>77</v>
      </c>
    </row>
    <row r="3" spans="1:8">
      <c r="A3" s="72" t="s">
        <v>285</v>
      </c>
      <c r="B3" s="72" t="s">
        <v>285</v>
      </c>
      <c r="C3" s="72" t="s">
        <v>285</v>
      </c>
      <c r="D3" s="72" t="s">
        <v>285</v>
      </c>
      <c r="E3" s="72" t="s">
        <v>285</v>
      </c>
      <c r="F3" s="72" t="s">
        <v>285</v>
      </c>
      <c r="G3" s="72" t="s">
        <v>285</v>
      </c>
      <c r="H3" s="72" t="s">
        <v>285</v>
      </c>
    </row>
    <row r="4" spans="1:8">
      <c r="A4" s="72" t="s">
        <v>285</v>
      </c>
      <c r="B4" s="72" t="s">
        <v>285</v>
      </c>
      <c r="C4" s="72" t="s">
        <v>285</v>
      </c>
      <c r="D4" s="72" t="s">
        <v>285</v>
      </c>
      <c r="E4" s="72" t="s">
        <v>285</v>
      </c>
      <c r="F4" s="72" t="s">
        <v>285</v>
      </c>
      <c r="G4" s="72" t="s">
        <v>285</v>
      </c>
      <c r="H4" s="72" t="s">
        <v>285</v>
      </c>
    </row>
    <row r="5" spans="1:8">
      <c r="A5" s="72" t="s">
        <v>285</v>
      </c>
      <c r="B5" s="72" t="s">
        <v>285</v>
      </c>
      <c r="C5" s="72" t="s">
        <v>285</v>
      </c>
      <c r="D5" s="72" t="s">
        <v>285</v>
      </c>
      <c r="E5" s="72" t="s">
        <v>285</v>
      </c>
      <c r="F5" s="72" t="s">
        <v>285</v>
      </c>
      <c r="G5" s="72" t="s">
        <v>285</v>
      </c>
      <c r="H5" s="72" t="s">
        <v>285</v>
      </c>
    </row>
    <row r="6" spans="1:8">
      <c r="A6" s="72" t="s">
        <v>285</v>
      </c>
      <c r="B6" s="72" t="s">
        <v>285</v>
      </c>
      <c r="C6" s="72" t="s">
        <v>285</v>
      </c>
      <c r="D6" s="72" t="s">
        <v>285</v>
      </c>
      <c r="E6" s="72" t="s">
        <v>285</v>
      </c>
      <c r="F6" s="72" t="s">
        <v>285</v>
      </c>
      <c r="G6" s="72" t="s">
        <v>285</v>
      </c>
      <c r="H6" s="72" t="s">
        <v>285</v>
      </c>
    </row>
    <row r="7" spans="1:8">
      <c r="A7" s="72" t="s">
        <v>285</v>
      </c>
      <c r="B7" s="72" t="s">
        <v>285</v>
      </c>
      <c r="C7" s="72" t="s">
        <v>285</v>
      </c>
      <c r="D7" s="72" t="s">
        <v>285</v>
      </c>
      <c r="E7" s="72" t="s">
        <v>285</v>
      </c>
      <c r="F7" s="72" t="s">
        <v>285</v>
      </c>
      <c r="G7" s="72" t="s">
        <v>285</v>
      </c>
      <c r="H7" s="72" t="s">
        <v>285</v>
      </c>
    </row>
    <row r="8" spans="1:8">
      <c r="A8" s="72" t="s">
        <v>285</v>
      </c>
      <c r="B8" s="72" t="s">
        <v>285</v>
      </c>
      <c r="C8" s="72" t="s">
        <v>285</v>
      </c>
      <c r="D8" s="72" t="s">
        <v>285</v>
      </c>
      <c r="E8" s="72" t="s">
        <v>285</v>
      </c>
      <c r="F8" s="72" t="s">
        <v>285</v>
      </c>
      <c r="G8" s="72" t="s">
        <v>285</v>
      </c>
      <c r="H8" s="72" t="s">
        <v>285</v>
      </c>
    </row>
    <row r="9" spans="1:8">
      <c r="A9" s="72" t="s">
        <v>285</v>
      </c>
      <c r="B9" s="72" t="s">
        <v>285</v>
      </c>
      <c r="C9" s="72" t="s">
        <v>285</v>
      </c>
      <c r="D9" s="72" t="s">
        <v>285</v>
      </c>
      <c r="E9" s="72" t="s">
        <v>285</v>
      </c>
      <c r="F9" s="72" t="s">
        <v>285</v>
      </c>
      <c r="G9" s="72" t="s">
        <v>285</v>
      </c>
      <c r="H9" s="72" t="s">
        <v>285</v>
      </c>
    </row>
    <row r="10" spans="1:8">
      <c r="A10" s="72" t="s">
        <v>285</v>
      </c>
      <c r="B10" s="72" t="s">
        <v>285</v>
      </c>
      <c r="C10" s="72" t="s">
        <v>285</v>
      </c>
      <c r="D10" s="72" t="s">
        <v>285</v>
      </c>
      <c r="E10" s="72" t="s">
        <v>285</v>
      </c>
      <c r="F10" s="72" t="s">
        <v>285</v>
      </c>
      <c r="G10" s="72" t="s">
        <v>285</v>
      </c>
      <c r="H10" s="72" t="s">
        <v>285</v>
      </c>
    </row>
    <row r="11" spans="1:8">
      <c r="A11" s="72" t="s">
        <v>285</v>
      </c>
      <c r="B11" s="72" t="s">
        <v>285</v>
      </c>
      <c r="C11" s="72" t="s">
        <v>285</v>
      </c>
      <c r="D11" s="72" t="s">
        <v>285</v>
      </c>
      <c r="E11" s="72" t="s">
        <v>285</v>
      </c>
      <c r="F11" s="72" t="s">
        <v>285</v>
      </c>
      <c r="G11" s="72" t="s">
        <v>285</v>
      </c>
      <c r="H11" s="72" t="s">
        <v>285</v>
      </c>
    </row>
    <row r="12" spans="1:8">
      <c r="A12" s="72" t="s">
        <v>285</v>
      </c>
      <c r="B12" s="72" t="s">
        <v>285</v>
      </c>
      <c r="C12" s="72" t="s">
        <v>285</v>
      </c>
      <c r="D12" s="72" t="s">
        <v>285</v>
      </c>
      <c r="E12" s="72" t="s">
        <v>285</v>
      </c>
      <c r="F12" s="72" t="s">
        <v>285</v>
      </c>
      <c r="G12" s="72" t="s">
        <v>285</v>
      </c>
      <c r="H12" s="72" t="s">
        <v>285</v>
      </c>
    </row>
    <row r="13" spans="1:8">
      <c r="A13" s="72" t="s">
        <v>285</v>
      </c>
      <c r="B13" s="72" t="s">
        <v>285</v>
      </c>
      <c r="C13" s="72" t="s">
        <v>285</v>
      </c>
      <c r="D13" s="72" t="s">
        <v>285</v>
      </c>
      <c r="E13" s="72" t="s">
        <v>285</v>
      </c>
      <c r="F13" s="72" t="s">
        <v>285</v>
      </c>
      <c r="G13" s="72" t="s">
        <v>285</v>
      </c>
      <c r="H13" s="72" t="s">
        <v>285</v>
      </c>
    </row>
    <row r="14" spans="1:8">
      <c r="A14" s="72" t="s">
        <v>285</v>
      </c>
      <c r="B14" s="72" t="s">
        <v>285</v>
      </c>
      <c r="C14" s="72" t="s">
        <v>285</v>
      </c>
      <c r="D14" s="72" t="s">
        <v>285</v>
      </c>
      <c r="E14" s="72" t="s">
        <v>285</v>
      </c>
      <c r="F14" s="72" t="s">
        <v>285</v>
      </c>
      <c r="G14" s="72" t="s">
        <v>285</v>
      </c>
      <c r="H14" s="72" t="s">
        <v>285</v>
      </c>
    </row>
    <row r="15" spans="1:8">
      <c r="A15" s="72" t="s">
        <v>285</v>
      </c>
      <c r="B15" s="72" t="s">
        <v>285</v>
      </c>
      <c r="C15" s="72" t="s">
        <v>285</v>
      </c>
      <c r="D15" s="72" t="s">
        <v>285</v>
      </c>
      <c r="E15" s="72" t="s">
        <v>285</v>
      </c>
      <c r="F15" s="72" t="s">
        <v>285</v>
      </c>
      <c r="G15" s="72" t="s">
        <v>285</v>
      </c>
      <c r="H15" s="72" t="s">
        <v>285</v>
      </c>
    </row>
    <row r="16" spans="1:8">
      <c r="A16" s="72" t="s">
        <v>285</v>
      </c>
      <c r="B16" s="72" t="s">
        <v>285</v>
      </c>
      <c r="C16" s="72" t="s">
        <v>285</v>
      </c>
      <c r="D16" s="72" t="s">
        <v>285</v>
      </c>
      <c r="E16" s="72" t="s">
        <v>285</v>
      </c>
      <c r="F16" s="72" t="s">
        <v>285</v>
      </c>
      <c r="G16" s="72" t="s">
        <v>285</v>
      </c>
      <c r="H16" s="72" t="s">
        <v>285</v>
      </c>
    </row>
    <row r="17" spans="1:8">
      <c r="A17" s="72" t="s">
        <v>285</v>
      </c>
      <c r="B17" s="72" t="s">
        <v>285</v>
      </c>
      <c r="C17" s="72" t="s">
        <v>285</v>
      </c>
      <c r="D17" s="72" t="s">
        <v>285</v>
      </c>
      <c r="E17" s="72" t="s">
        <v>285</v>
      </c>
      <c r="F17" s="72" t="s">
        <v>285</v>
      </c>
      <c r="G17" s="72" t="s">
        <v>285</v>
      </c>
      <c r="H17" s="72" t="s">
        <v>285</v>
      </c>
    </row>
    <row r="18" spans="1:8">
      <c r="A18" s="72" t="s">
        <v>285</v>
      </c>
      <c r="B18" s="72" t="s">
        <v>285</v>
      </c>
      <c r="C18" s="72" t="s">
        <v>285</v>
      </c>
      <c r="D18" s="72" t="s">
        <v>285</v>
      </c>
      <c r="E18" s="72" t="s">
        <v>285</v>
      </c>
      <c r="F18" s="72" t="s">
        <v>285</v>
      </c>
      <c r="G18" s="72" t="s">
        <v>285</v>
      </c>
      <c r="H18" s="72" t="s">
        <v>285</v>
      </c>
    </row>
    <row r="19" spans="1:8">
      <c r="A19" s="72" t="s">
        <v>285</v>
      </c>
      <c r="B19" s="72" t="s">
        <v>285</v>
      </c>
      <c r="C19" s="72" t="s">
        <v>285</v>
      </c>
      <c r="D19" s="72" t="s">
        <v>285</v>
      </c>
      <c r="E19" s="72" t="s">
        <v>285</v>
      </c>
      <c r="F19" s="72" t="s">
        <v>285</v>
      </c>
      <c r="G19" s="72" t="s">
        <v>285</v>
      </c>
      <c r="H19" s="72" t="s">
        <v>285</v>
      </c>
    </row>
    <row r="20" spans="1:8">
      <c r="A20" s="72" t="s">
        <v>285</v>
      </c>
      <c r="B20" s="72" t="s">
        <v>285</v>
      </c>
      <c r="C20" s="72" t="s">
        <v>285</v>
      </c>
      <c r="D20" s="72" t="s">
        <v>285</v>
      </c>
      <c r="E20" s="72" t="s">
        <v>285</v>
      </c>
      <c r="F20" s="72" t="s">
        <v>285</v>
      </c>
      <c r="G20" s="72" t="s">
        <v>285</v>
      </c>
      <c r="H20" s="72" t="s">
        <v>285</v>
      </c>
    </row>
    <row r="21" spans="1:8">
      <c r="A21" s="72" t="s">
        <v>285</v>
      </c>
      <c r="B21" s="72" t="s">
        <v>285</v>
      </c>
      <c r="C21" s="72" t="s">
        <v>285</v>
      </c>
      <c r="D21" s="72" t="s">
        <v>285</v>
      </c>
      <c r="E21" s="72" t="s">
        <v>285</v>
      </c>
      <c r="F21" s="72" t="s">
        <v>285</v>
      </c>
      <c r="G21" s="72" t="s">
        <v>285</v>
      </c>
      <c r="H21" s="72" t="s">
        <v>285</v>
      </c>
    </row>
    <row r="22" spans="1:8">
      <c r="A22" s="72" t="s">
        <v>285</v>
      </c>
      <c r="B22" s="72" t="s">
        <v>285</v>
      </c>
      <c r="C22" s="72" t="s">
        <v>285</v>
      </c>
      <c r="D22" s="72" t="s">
        <v>285</v>
      </c>
      <c r="E22" s="72" t="s">
        <v>285</v>
      </c>
      <c r="F22" s="72" t="s">
        <v>285</v>
      </c>
      <c r="G22" s="72" t="s">
        <v>285</v>
      </c>
      <c r="H22" s="72" t="s">
        <v>285</v>
      </c>
    </row>
    <row r="23" spans="1:8">
      <c r="A23" s="72" t="s">
        <v>285</v>
      </c>
      <c r="B23" s="72" t="s">
        <v>285</v>
      </c>
      <c r="C23" s="72" t="s">
        <v>285</v>
      </c>
      <c r="D23" s="72" t="s">
        <v>285</v>
      </c>
      <c r="E23" s="72" t="s">
        <v>285</v>
      </c>
      <c r="F23" s="72" t="s">
        <v>285</v>
      </c>
      <c r="G23" s="72" t="s">
        <v>285</v>
      </c>
      <c r="H23" s="72" t="s">
        <v>285</v>
      </c>
    </row>
    <row r="24" spans="1:8">
      <c r="A24" s="72" t="s">
        <v>285</v>
      </c>
      <c r="B24" s="72" t="s">
        <v>285</v>
      </c>
      <c r="C24" s="72" t="s">
        <v>285</v>
      </c>
      <c r="D24" s="72" t="s">
        <v>285</v>
      </c>
      <c r="E24" s="72" t="s">
        <v>285</v>
      </c>
      <c r="F24" s="72" t="s">
        <v>285</v>
      </c>
      <c r="G24" s="72" t="s">
        <v>285</v>
      </c>
      <c r="H24" s="72" t="s">
        <v>285</v>
      </c>
    </row>
    <row r="25" spans="1:8">
      <c r="A25" s="72" t="s">
        <v>285</v>
      </c>
      <c r="B25" s="72" t="s">
        <v>285</v>
      </c>
      <c r="C25" s="72" t="s">
        <v>285</v>
      </c>
      <c r="D25" s="72" t="s">
        <v>285</v>
      </c>
      <c r="E25" s="72" t="s">
        <v>285</v>
      </c>
      <c r="F25" s="72" t="s">
        <v>285</v>
      </c>
      <c r="G25" s="72" t="s">
        <v>285</v>
      </c>
      <c r="H25" s="72" t="s">
        <v>285</v>
      </c>
    </row>
    <row r="26" spans="1:8">
      <c r="A26" s="72" t="s">
        <v>285</v>
      </c>
      <c r="B26" s="72" t="s">
        <v>285</v>
      </c>
      <c r="C26" s="72" t="s">
        <v>285</v>
      </c>
      <c r="D26" s="72" t="s">
        <v>285</v>
      </c>
      <c r="E26" s="72" t="s">
        <v>285</v>
      </c>
      <c r="F26" s="72" t="s">
        <v>285</v>
      </c>
      <c r="G26" s="72" t="s">
        <v>285</v>
      </c>
      <c r="H26" s="72" t="s">
        <v>285</v>
      </c>
    </row>
    <row r="27" spans="1:8">
      <c r="A27" s="72" t="s">
        <v>285</v>
      </c>
      <c r="B27" s="72" t="s">
        <v>285</v>
      </c>
      <c r="C27" s="72" t="s">
        <v>285</v>
      </c>
      <c r="D27" s="72" t="s">
        <v>285</v>
      </c>
      <c r="E27" s="72" t="s">
        <v>285</v>
      </c>
      <c r="F27" s="72" t="s">
        <v>285</v>
      </c>
      <c r="G27" s="72" t="s">
        <v>285</v>
      </c>
      <c r="H27" s="72" t="s">
        <v>285</v>
      </c>
    </row>
    <row r="28" spans="1:8">
      <c r="A28" s="72" t="s">
        <v>285</v>
      </c>
      <c r="B28" s="72" t="s">
        <v>285</v>
      </c>
      <c r="C28" s="72" t="s">
        <v>285</v>
      </c>
      <c r="D28" s="72" t="s">
        <v>285</v>
      </c>
      <c r="E28" s="72" t="s">
        <v>285</v>
      </c>
      <c r="F28" s="72" t="s">
        <v>285</v>
      </c>
      <c r="G28" s="72" t="s">
        <v>285</v>
      </c>
      <c r="H28" s="72" t="s">
        <v>285</v>
      </c>
    </row>
    <row r="29" spans="1:8">
      <c r="A29" s="72" t="s">
        <v>285</v>
      </c>
      <c r="B29" s="72" t="s">
        <v>285</v>
      </c>
      <c r="C29" s="72" t="s">
        <v>285</v>
      </c>
      <c r="D29" s="72" t="s">
        <v>285</v>
      </c>
      <c r="E29" s="72" t="s">
        <v>285</v>
      </c>
      <c r="F29" s="72" t="s">
        <v>285</v>
      </c>
      <c r="G29" s="72" t="s">
        <v>285</v>
      </c>
      <c r="H29" s="72" t="s">
        <v>285</v>
      </c>
    </row>
    <row r="30" spans="1:8">
      <c r="A30" s="72" t="s">
        <v>285</v>
      </c>
      <c r="B30" s="72" t="s">
        <v>285</v>
      </c>
      <c r="C30" s="72" t="s">
        <v>285</v>
      </c>
      <c r="D30" s="72" t="s">
        <v>285</v>
      </c>
      <c r="E30" s="72" t="s">
        <v>285</v>
      </c>
      <c r="F30" s="72" t="s">
        <v>285</v>
      </c>
      <c r="G30" s="72" t="s">
        <v>285</v>
      </c>
      <c r="H30" s="72" t="s">
        <v>285</v>
      </c>
    </row>
    <row r="31" spans="1:8">
      <c r="A31" s="72" t="s">
        <v>285</v>
      </c>
      <c r="B31" s="72" t="s">
        <v>285</v>
      </c>
      <c r="C31" s="72" t="s">
        <v>285</v>
      </c>
      <c r="D31" s="72" t="s">
        <v>285</v>
      </c>
      <c r="E31" s="72" t="s">
        <v>285</v>
      </c>
      <c r="F31" s="72" t="s">
        <v>285</v>
      </c>
      <c r="G31" s="72" t="s">
        <v>285</v>
      </c>
      <c r="H31" s="72" t="s">
        <v>285</v>
      </c>
    </row>
    <row r="32" spans="1:8">
      <c r="A32" s="72" t="s">
        <v>285</v>
      </c>
      <c r="B32" s="72" t="s">
        <v>285</v>
      </c>
      <c r="C32" s="72" t="s">
        <v>285</v>
      </c>
      <c r="D32" s="72" t="s">
        <v>285</v>
      </c>
      <c r="E32" s="72" t="s">
        <v>285</v>
      </c>
      <c r="F32" s="72" t="s">
        <v>285</v>
      </c>
      <c r="G32" s="72" t="s">
        <v>285</v>
      </c>
      <c r="H32" s="72" t="s">
        <v>285</v>
      </c>
    </row>
    <row r="33" spans="1:8">
      <c r="A33" s="72" t="s">
        <v>285</v>
      </c>
      <c r="B33" s="72" t="s">
        <v>285</v>
      </c>
      <c r="C33" s="72" t="s">
        <v>285</v>
      </c>
      <c r="D33" s="72" t="s">
        <v>285</v>
      </c>
      <c r="E33" s="72" t="s">
        <v>285</v>
      </c>
      <c r="F33" s="72" t="s">
        <v>285</v>
      </c>
      <c r="G33" s="72" t="s">
        <v>285</v>
      </c>
      <c r="H33" s="72" t="s">
        <v>285</v>
      </c>
    </row>
    <row r="34" spans="1:8">
      <c r="A34" s="72" t="s">
        <v>285</v>
      </c>
      <c r="B34" s="72" t="s">
        <v>285</v>
      </c>
      <c r="C34" s="72" t="s">
        <v>285</v>
      </c>
      <c r="D34" s="72" t="s">
        <v>285</v>
      </c>
      <c r="E34" s="72" t="s">
        <v>285</v>
      </c>
      <c r="F34" s="72" t="s">
        <v>285</v>
      </c>
      <c r="G34" s="72" t="s">
        <v>285</v>
      </c>
      <c r="H34" s="72" t="s">
        <v>285</v>
      </c>
    </row>
    <row r="35" spans="1:8">
      <c r="A35" s="72" t="s">
        <v>285</v>
      </c>
      <c r="B35" s="72" t="s">
        <v>285</v>
      </c>
      <c r="C35" s="72" t="s">
        <v>285</v>
      </c>
      <c r="D35" s="72" t="s">
        <v>285</v>
      </c>
      <c r="E35" s="72" t="s">
        <v>285</v>
      </c>
      <c r="F35" s="72" t="s">
        <v>285</v>
      </c>
      <c r="G35" s="72" t="s">
        <v>285</v>
      </c>
      <c r="H35" s="72" t="s">
        <v>285</v>
      </c>
    </row>
    <row r="36" spans="1:8">
      <c r="A36" s="72" t="s">
        <v>285</v>
      </c>
      <c r="B36" s="72" t="s">
        <v>285</v>
      </c>
      <c r="C36" s="72" t="s">
        <v>285</v>
      </c>
      <c r="D36" s="72" t="s">
        <v>285</v>
      </c>
      <c r="E36" s="72" t="s">
        <v>285</v>
      </c>
      <c r="F36" s="72" t="s">
        <v>285</v>
      </c>
      <c r="G36" s="72" t="s">
        <v>285</v>
      </c>
      <c r="H36" s="72" t="s">
        <v>285</v>
      </c>
    </row>
    <row r="37" spans="1:8">
      <c r="A37" s="72" t="s">
        <v>285</v>
      </c>
      <c r="B37" s="72" t="s">
        <v>285</v>
      </c>
      <c r="C37" s="72" t="s">
        <v>285</v>
      </c>
      <c r="D37" s="72" t="s">
        <v>285</v>
      </c>
      <c r="E37" s="72" t="s">
        <v>285</v>
      </c>
      <c r="F37" s="72" t="s">
        <v>285</v>
      </c>
      <c r="G37" s="72" t="s">
        <v>285</v>
      </c>
      <c r="H37" s="72" t="s">
        <v>285</v>
      </c>
    </row>
    <row r="38" spans="1:8">
      <c r="A38" s="72" t="s">
        <v>285</v>
      </c>
      <c r="B38" s="72" t="s">
        <v>285</v>
      </c>
      <c r="C38" s="72" t="s">
        <v>285</v>
      </c>
      <c r="D38" s="72" t="s">
        <v>285</v>
      </c>
      <c r="E38" s="72" t="s">
        <v>285</v>
      </c>
      <c r="F38" s="72" t="s">
        <v>285</v>
      </c>
      <c r="G38" s="72" t="s">
        <v>285</v>
      </c>
      <c r="H38" s="72" t="s">
        <v>285</v>
      </c>
    </row>
    <row r="39" spans="1:8">
      <c r="A39" s="72" t="s">
        <v>285</v>
      </c>
      <c r="B39" s="72" t="s">
        <v>285</v>
      </c>
      <c r="C39" s="72" t="s">
        <v>285</v>
      </c>
      <c r="D39" s="72" t="s">
        <v>285</v>
      </c>
      <c r="E39" s="72" t="s">
        <v>285</v>
      </c>
      <c r="F39" s="72" t="s">
        <v>285</v>
      </c>
      <c r="G39" s="72" t="s">
        <v>285</v>
      </c>
      <c r="H39" s="72" t="s">
        <v>285</v>
      </c>
    </row>
    <row r="40" spans="1:8">
      <c r="A40" s="72" t="s">
        <v>285</v>
      </c>
      <c r="B40" s="72" t="s">
        <v>285</v>
      </c>
      <c r="C40" s="72" t="s">
        <v>285</v>
      </c>
      <c r="D40" s="72" t="s">
        <v>285</v>
      </c>
      <c r="E40" s="72" t="s">
        <v>285</v>
      </c>
      <c r="F40" s="72" t="s">
        <v>285</v>
      </c>
      <c r="G40" s="72" t="s">
        <v>285</v>
      </c>
      <c r="H40" s="72" t="s">
        <v>285</v>
      </c>
    </row>
    <row r="41" spans="1:8">
      <c r="A41" s="72" t="s">
        <v>285</v>
      </c>
      <c r="B41" s="72" t="s">
        <v>285</v>
      </c>
      <c r="C41" s="72" t="s">
        <v>285</v>
      </c>
      <c r="D41" s="72" t="s">
        <v>285</v>
      </c>
      <c r="E41" s="72" t="s">
        <v>285</v>
      </c>
      <c r="F41" s="72" t="s">
        <v>285</v>
      </c>
      <c r="G41" s="72" t="s">
        <v>285</v>
      </c>
      <c r="H41" s="72" t="s">
        <v>285</v>
      </c>
    </row>
    <row r="42" spans="1:8">
      <c r="A42" s="72" t="s">
        <v>285</v>
      </c>
      <c r="B42" s="72" t="s">
        <v>285</v>
      </c>
      <c r="C42" s="72" t="s">
        <v>285</v>
      </c>
      <c r="D42" s="72" t="s">
        <v>285</v>
      </c>
      <c r="E42" s="72" t="s">
        <v>285</v>
      </c>
      <c r="F42" s="72" t="s">
        <v>285</v>
      </c>
      <c r="G42" s="72" t="s">
        <v>285</v>
      </c>
      <c r="H42" s="72" t="s">
        <v>285</v>
      </c>
    </row>
    <row r="43" spans="1:8">
      <c r="A43" s="72" t="s">
        <v>285</v>
      </c>
      <c r="B43" s="72" t="s">
        <v>285</v>
      </c>
      <c r="C43" s="72" t="s">
        <v>285</v>
      </c>
      <c r="D43" s="72" t="s">
        <v>285</v>
      </c>
      <c r="E43" s="72" t="s">
        <v>285</v>
      </c>
      <c r="F43" s="72" t="s">
        <v>285</v>
      </c>
      <c r="G43" s="72" t="s">
        <v>285</v>
      </c>
      <c r="H43" s="72" t="s">
        <v>285</v>
      </c>
    </row>
    <row r="44" spans="1:8">
      <c r="A44" s="72" t="s">
        <v>285</v>
      </c>
      <c r="B44" s="72" t="s">
        <v>285</v>
      </c>
      <c r="C44" s="72" t="s">
        <v>285</v>
      </c>
      <c r="D44" s="72" t="s">
        <v>285</v>
      </c>
      <c r="E44" s="72" t="s">
        <v>285</v>
      </c>
      <c r="F44" s="72" t="s">
        <v>285</v>
      </c>
      <c r="G44" s="72" t="s">
        <v>285</v>
      </c>
      <c r="H44" s="72" t="s">
        <v>285</v>
      </c>
    </row>
    <row r="45" spans="1:8">
      <c r="A45" s="72" t="s">
        <v>285</v>
      </c>
      <c r="B45" s="72" t="s">
        <v>285</v>
      </c>
      <c r="C45" s="72" t="s">
        <v>285</v>
      </c>
      <c r="D45" s="72" t="s">
        <v>285</v>
      </c>
      <c r="E45" s="72" t="s">
        <v>285</v>
      </c>
      <c r="F45" s="72" t="s">
        <v>285</v>
      </c>
      <c r="G45" s="72" t="s">
        <v>285</v>
      </c>
      <c r="H45" s="72" t="s">
        <v>285</v>
      </c>
    </row>
    <row r="46" spans="1:8">
      <c r="A46" s="72" t="s">
        <v>285</v>
      </c>
      <c r="B46" s="72" t="s">
        <v>285</v>
      </c>
      <c r="C46" s="72" t="s">
        <v>285</v>
      </c>
      <c r="D46" s="72" t="s">
        <v>285</v>
      </c>
      <c r="E46" s="72" t="s">
        <v>285</v>
      </c>
      <c r="F46" s="72" t="s">
        <v>285</v>
      </c>
      <c r="G46" s="72" t="s">
        <v>285</v>
      </c>
      <c r="H46" s="72" t="s">
        <v>285</v>
      </c>
    </row>
    <row r="47" spans="1:8">
      <c r="A47" s="72" t="s">
        <v>285</v>
      </c>
      <c r="B47" s="72" t="s">
        <v>285</v>
      </c>
      <c r="C47" s="72" t="s">
        <v>285</v>
      </c>
      <c r="D47" s="72" t="s">
        <v>285</v>
      </c>
      <c r="E47" s="72" t="s">
        <v>285</v>
      </c>
      <c r="F47" s="72" t="s">
        <v>285</v>
      </c>
      <c r="G47" s="72" t="s">
        <v>285</v>
      </c>
      <c r="H47" s="72" t="s">
        <v>285</v>
      </c>
    </row>
    <row r="48" spans="1:8">
      <c r="A48" s="72" t="s">
        <v>285</v>
      </c>
      <c r="B48" s="72" t="s">
        <v>285</v>
      </c>
      <c r="C48" s="72" t="s">
        <v>285</v>
      </c>
      <c r="D48" s="72" t="s">
        <v>285</v>
      </c>
      <c r="E48" s="72" t="s">
        <v>285</v>
      </c>
      <c r="F48" s="72" t="s">
        <v>285</v>
      </c>
      <c r="G48" s="72" t="s">
        <v>285</v>
      </c>
      <c r="H48" s="72" t="s">
        <v>285</v>
      </c>
    </row>
    <row r="49" spans="1:8">
      <c r="A49" s="72" t="s">
        <v>285</v>
      </c>
      <c r="B49" s="72" t="s">
        <v>285</v>
      </c>
      <c r="C49" s="72" t="s">
        <v>285</v>
      </c>
      <c r="D49" s="72" t="s">
        <v>285</v>
      </c>
      <c r="E49" s="72" t="s">
        <v>285</v>
      </c>
      <c r="F49" s="72" t="s">
        <v>285</v>
      </c>
      <c r="G49" s="72" t="s">
        <v>285</v>
      </c>
      <c r="H49" s="72" t="s">
        <v>285</v>
      </c>
    </row>
    <row r="50" spans="1:8">
      <c r="A50" s="72" t="s">
        <v>285</v>
      </c>
      <c r="B50" s="72" t="s">
        <v>285</v>
      </c>
      <c r="C50" s="72" t="s">
        <v>285</v>
      </c>
      <c r="D50" s="72" t="s">
        <v>285</v>
      </c>
      <c r="E50" s="72" t="s">
        <v>285</v>
      </c>
      <c r="F50" s="72" t="s">
        <v>285</v>
      </c>
      <c r="G50" s="72" t="s">
        <v>285</v>
      </c>
      <c r="H50" s="72" t="s">
        <v>285</v>
      </c>
    </row>
    <row r="51" spans="1:8">
      <c r="A51" s="72" t="s">
        <v>285</v>
      </c>
      <c r="B51" s="72" t="s">
        <v>285</v>
      </c>
      <c r="C51" s="72" t="s">
        <v>285</v>
      </c>
      <c r="D51" s="72" t="s">
        <v>285</v>
      </c>
      <c r="E51" s="72" t="s">
        <v>285</v>
      </c>
      <c r="F51" s="72" t="s">
        <v>285</v>
      </c>
      <c r="G51" s="72" t="s">
        <v>285</v>
      </c>
      <c r="H51" s="72" t="s">
        <v>285</v>
      </c>
    </row>
    <row r="52" spans="1:8">
      <c r="A52" s="72" t="s">
        <v>285</v>
      </c>
      <c r="B52" s="72" t="s">
        <v>285</v>
      </c>
      <c r="C52" s="72" t="s">
        <v>285</v>
      </c>
      <c r="D52" s="72" t="s">
        <v>285</v>
      </c>
      <c r="E52" s="72" t="s">
        <v>285</v>
      </c>
      <c r="F52" s="72" t="s">
        <v>285</v>
      </c>
      <c r="G52" s="72" t="s">
        <v>285</v>
      </c>
      <c r="H52" s="72" t="s">
        <v>285</v>
      </c>
    </row>
    <row r="53" spans="1:8">
      <c r="A53" s="72" t="s">
        <v>285</v>
      </c>
      <c r="B53" s="72" t="s">
        <v>285</v>
      </c>
      <c r="C53" s="72" t="s">
        <v>285</v>
      </c>
      <c r="D53" s="72" t="s">
        <v>285</v>
      </c>
      <c r="E53" s="72" t="s">
        <v>285</v>
      </c>
      <c r="F53" s="72" t="s">
        <v>285</v>
      </c>
      <c r="G53" s="72" t="s">
        <v>285</v>
      </c>
      <c r="H53" s="72" t="s">
        <v>285</v>
      </c>
    </row>
    <row r="54" spans="1:8">
      <c r="A54" s="72" t="s">
        <v>285</v>
      </c>
      <c r="B54" s="72" t="s">
        <v>285</v>
      </c>
      <c r="C54" s="72" t="s">
        <v>285</v>
      </c>
      <c r="D54" s="72" t="s">
        <v>285</v>
      </c>
      <c r="E54" s="72" t="s">
        <v>285</v>
      </c>
      <c r="F54" s="72" t="s">
        <v>285</v>
      </c>
      <c r="G54" s="72" t="s">
        <v>285</v>
      </c>
      <c r="H54" s="72" t="s">
        <v>285</v>
      </c>
    </row>
    <row r="55" spans="1:8">
      <c r="A55" s="72" t="s">
        <v>285</v>
      </c>
      <c r="B55" s="72" t="s">
        <v>285</v>
      </c>
      <c r="C55" s="72" t="s">
        <v>285</v>
      </c>
      <c r="D55" s="72" t="s">
        <v>285</v>
      </c>
      <c r="E55" s="72" t="s">
        <v>285</v>
      </c>
      <c r="F55" s="72" t="s">
        <v>285</v>
      </c>
      <c r="G55" s="72" t="s">
        <v>285</v>
      </c>
      <c r="H55" s="72" t="s">
        <v>285</v>
      </c>
    </row>
    <row r="56" spans="1:8">
      <c r="A56" s="72" t="s">
        <v>285</v>
      </c>
      <c r="B56" s="72" t="s">
        <v>285</v>
      </c>
      <c r="C56" s="72" t="s">
        <v>285</v>
      </c>
      <c r="D56" s="72" t="s">
        <v>285</v>
      </c>
      <c r="E56" s="72" t="s">
        <v>285</v>
      </c>
      <c r="F56" s="72" t="s">
        <v>285</v>
      </c>
      <c r="G56" s="72" t="s">
        <v>285</v>
      </c>
      <c r="H56" s="72" t="s">
        <v>285</v>
      </c>
    </row>
    <row r="57" spans="1:8">
      <c r="A57" s="72" t="s">
        <v>285</v>
      </c>
      <c r="B57" s="72" t="s">
        <v>285</v>
      </c>
      <c r="C57" s="72" t="s">
        <v>285</v>
      </c>
      <c r="D57" s="72" t="s">
        <v>285</v>
      </c>
      <c r="E57" s="72" t="s">
        <v>285</v>
      </c>
      <c r="F57" s="72" t="s">
        <v>285</v>
      </c>
      <c r="G57" s="72" t="s">
        <v>285</v>
      </c>
      <c r="H57" s="72" t="s">
        <v>285</v>
      </c>
    </row>
    <row r="58" spans="1:8">
      <c r="A58" s="72" t="s">
        <v>285</v>
      </c>
      <c r="B58" s="72" t="s">
        <v>285</v>
      </c>
      <c r="C58" s="72" t="s">
        <v>285</v>
      </c>
      <c r="D58" s="72" t="s">
        <v>285</v>
      </c>
      <c r="E58" s="72" t="s">
        <v>285</v>
      </c>
      <c r="F58" s="72" t="s">
        <v>285</v>
      </c>
      <c r="G58" s="72" t="s">
        <v>285</v>
      </c>
      <c r="H58" s="72" t="s">
        <v>285</v>
      </c>
    </row>
    <row r="59" spans="1:8">
      <c r="A59" s="72" t="s">
        <v>285</v>
      </c>
      <c r="B59" s="72" t="s">
        <v>285</v>
      </c>
      <c r="C59" s="72" t="s">
        <v>285</v>
      </c>
      <c r="D59" s="72" t="s">
        <v>285</v>
      </c>
      <c r="E59" s="72" t="s">
        <v>285</v>
      </c>
      <c r="F59" s="72" t="s">
        <v>285</v>
      </c>
      <c r="G59" s="72" t="s">
        <v>285</v>
      </c>
      <c r="H59" s="72" t="s">
        <v>285</v>
      </c>
    </row>
    <row r="60" spans="1:8">
      <c r="A60" s="72" t="s">
        <v>285</v>
      </c>
      <c r="B60" s="72" t="s">
        <v>285</v>
      </c>
      <c r="C60" s="72" t="s">
        <v>285</v>
      </c>
      <c r="D60" s="72" t="s">
        <v>285</v>
      </c>
      <c r="E60" s="72" t="s">
        <v>285</v>
      </c>
      <c r="F60" s="72" t="s">
        <v>285</v>
      </c>
      <c r="G60" s="72" t="s">
        <v>285</v>
      </c>
      <c r="H60" s="72" t="s">
        <v>285</v>
      </c>
    </row>
  </sheetData>
  <mergeCells count="1">
    <mergeCell ref="A1:H1"/>
  </mergeCells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AB60"/>
  <sheetViews>
    <sheetView topLeftCell="B1" workbookViewId="0">
      <selection activeCell="I5" sqref="I5"/>
    </sheetView>
  </sheetViews>
  <sheetFormatPr defaultRowHeight="12.75"/>
  <cols>
    <col min="9" max="9" width="9.140625" style="84"/>
    <col min="29" max="29" width="18.42578125" customWidth="1"/>
  </cols>
  <sheetData>
    <row r="1" spans="1:28" ht="13.5" thickBot="1">
      <c r="A1" s="292" t="s">
        <v>333</v>
      </c>
      <c r="B1" s="292"/>
      <c r="C1" s="292"/>
      <c r="D1" s="292"/>
      <c r="E1" s="292"/>
      <c r="F1" s="292"/>
      <c r="G1" s="292"/>
      <c r="H1" s="292"/>
    </row>
    <row r="2" spans="1:28" ht="65.25" customHeight="1" thickBot="1">
      <c r="A2" s="46" t="s">
        <v>334</v>
      </c>
      <c r="B2" s="46" t="s">
        <v>335</v>
      </c>
      <c r="C2" s="46" t="s">
        <v>336</v>
      </c>
      <c r="D2" s="46" t="s">
        <v>337</v>
      </c>
      <c r="E2" s="46" t="s">
        <v>338</v>
      </c>
      <c r="F2" s="46" t="s">
        <v>339</v>
      </c>
      <c r="G2" s="46" t="s">
        <v>340</v>
      </c>
      <c r="H2" s="46" t="s">
        <v>341</v>
      </c>
      <c r="I2" s="85" t="s">
        <v>342</v>
      </c>
      <c r="J2" s="46" t="s">
        <v>343</v>
      </c>
      <c r="K2" s="46" t="s">
        <v>344</v>
      </c>
      <c r="L2" s="46" t="s">
        <v>345</v>
      </c>
      <c r="M2" s="46" t="s">
        <v>346</v>
      </c>
      <c r="N2" s="46" t="s">
        <v>347</v>
      </c>
      <c r="O2" s="46" t="s">
        <v>348</v>
      </c>
      <c r="P2" s="46" t="s">
        <v>349</v>
      </c>
      <c r="Q2" s="46" t="s">
        <v>350</v>
      </c>
      <c r="R2" s="46" t="s">
        <v>351</v>
      </c>
      <c r="S2" s="46" t="s">
        <v>352</v>
      </c>
      <c r="T2" s="46" t="s">
        <v>353</v>
      </c>
      <c r="U2" s="46" t="s">
        <v>354</v>
      </c>
      <c r="V2" s="46" t="s">
        <v>354</v>
      </c>
      <c r="W2" s="46" t="s">
        <v>355</v>
      </c>
      <c r="X2" s="46" t="s">
        <v>356</v>
      </c>
      <c r="Y2" s="46" t="s">
        <v>357</v>
      </c>
      <c r="Z2" s="46" t="s">
        <v>358</v>
      </c>
      <c r="AA2" s="46" t="s">
        <v>359</v>
      </c>
      <c r="AB2" s="46" t="s">
        <v>360</v>
      </c>
    </row>
    <row r="3" spans="1:28">
      <c r="A3" t="s">
        <v>361</v>
      </c>
      <c r="B3" t="s">
        <v>361</v>
      </c>
      <c r="C3" t="s">
        <v>361</v>
      </c>
      <c r="D3" t="s">
        <v>361</v>
      </c>
      <c r="E3" t="s">
        <v>394</v>
      </c>
      <c r="F3" t="s">
        <v>361</v>
      </c>
      <c r="G3" t="s">
        <v>361</v>
      </c>
      <c r="H3" t="s">
        <v>285</v>
      </c>
      <c r="I3" s="84">
        <v>0</v>
      </c>
      <c r="J3">
        <v>0</v>
      </c>
      <c r="K3">
        <v>0</v>
      </c>
      <c r="L3">
        <v>0</v>
      </c>
      <c r="M3" t="s">
        <v>361</v>
      </c>
      <c r="O3" s="81"/>
      <c r="Q3" s="81"/>
      <c r="R3" s="81"/>
      <c r="S3" t="s">
        <v>269</v>
      </c>
      <c r="T3" t="s">
        <v>269</v>
      </c>
      <c r="U3" t="s">
        <v>269</v>
      </c>
      <c r="V3" t="s">
        <v>269</v>
      </c>
      <c r="W3" t="s">
        <v>269</v>
      </c>
      <c r="X3" t="s">
        <v>269</v>
      </c>
      <c r="Y3" t="s">
        <v>269</v>
      </c>
      <c r="Z3" t="s">
        <v>269</v>
      </c>
      <c r="AA3" t="s">
        <v>269</v>
      </c>
      <c r="AB3" t="s">
        <v>269</v>
      </c>
    </row>
    <row r="4" spans="1:28">
      <c r="H4" t="s">
        <v>285</v>
      </c>
      <c r="I4" s="84">
        <v>0</v>
      </c>
      <c r="J4">
        <v>0</v>
      </c>
      <c r="K4">
        <v>0</v>
      </c>
      <c r="L4">
        <v>0</v>
      </c>
      <c r="T4" t="s">
        <v>269</v>
      </c>
      <c r="U4" t="s">
        <v>269</v>
      </c>
      <c r="V4" t="s">
        <v>269</v>
      </c>
    </row>
    <row r="5" spans="1:28">
      <c r="G5" t="s">
        <v>285</v>
      </c>
      <c r="H5" t="s">
        <v>285</v>
      </c>
      <c r="I5" s="84">
        <v>0</v>
      </c>
      <c r="J5">
        <v>0</v>
      </c>
      <c r="K5">
        <v>0</v>
      </c>
      <c r="L5">
        <v>0</v>
      </c>
    </row>
    <row r="6" spans="1:28">
      <c r="H6" t="s">
        <v>285</v>
      </c>
      <c r="I6" s="84">
        <v>0</v>
      </c>
      <c r="J6">
        <v>0</v>
      </c>
      <c r="K6">
        <v>0</v>
      </c>
      <c r="L6">
        <v>0</v>
      </c>
    </row>
    <row r="7" spans="1:28">
      <c r="I7" s="84">
        <v>0</v>
      </c>
      <c r="K7">
        <v>0</v>
      </c>
      <c r="L7">
        <v>0</v>
      </c>
    </row>
    <row r="8" spans="1:28">
      <c r="I8" s="84">
        <v>0</v>
      </c>
      <c r="K8">
        <v>0</v>
      </c>
    </row>
    <row r="9" spans="1:28">
      <c r="I9" s="84">
        <v>0</v>
      </c>
    </row>
    <row r="10" spans="1:28">
      <c r="I10" s="84">
        <v>0</v>
      </c>
    </row>
    <row r="11" spans="1:28">
      <c r="I11" s="84">
        <v>0</v>
      </c>
    </row>
    <row r="12" spans="1:28">
      <c r="I12" s="84">
        <v>0</v>
      </c>
    </row>
    <row r="13" spans="1:28">
      <c r="I13" s="84">
        <v>0</v>
      </c>
    </row>
    <row r="14" spans="1:28">
      <c r="I14" s="84">
        <v>0</v>
      </c>
    </row>
    <row r="15" spans="1:28">
      <c r="I15" s="84">
        <v>0</v>
      </c>
    </row>
    <row r="16" spans="1:28">
      <c r="I16" s="84">
        <v>0</v>
      </c>
    </row>
    <row r="17" spans="9:9">
      <c r="I17" s="84">
        <v>0</v>
      </c>
    </row>
    <row r="18" spans="9:9">
      <c r="I18" s="84">
        <v>0</v>
      </c>
    </row>
    <row r="19" spans="9:9">
      <c r="I19" s="84">
        <v>0</v>
      </c>
    </row>
    <row r="20" spans="9:9">
      <c r="I20" s="84">
        <v>0</v>
      </c>
    </row>
    <row r="21" spans="9:9">
      <c r="I21" s="84">
        <v>0</v>
      </c>
    </row>
    <row r="22" spans="9:9">
      <c r="I22" s="84">
        <v>0</v>
      </c>
    </row>
    <row r="23" spans="9:9">
      <c r="I23" s="84">
        <v>0</v>
      </c>
    </row>
    <row r="24" spans="9:9">
      <c r="I24" s="84">
        <v>0</v>
      </c>
    </row>
    <row r="25" spans="9:9">
      <c r="I25" s="84">
        <v>0</v>
      </c>
    </row>
    <row r="26" spans="9:9">
      <c r="I26" s="84">
        <v>0</v>
      </c>
    </row>
    <row r="27" spans="9:9">
      <c r="I27" s="84">
        <v>0</v>
      </c>
    </row>
    <row r="28" spans="9:9">
      <c r="I28" s="84">
        <v>0</v>
      </c>
    </row>
    <row r="29" spans="9:9">
      <c r="I29" s="84">
        <v>0</v>
      </c>
    </row>
    <row r="30" spans="9:9">
      <c r="I30" s="84">
        <v>0</v>
      </c>
    </row>
    <row r="31" spans="9:9">
      <c r="I31" s="84">
        <v>0</v>
      </c>
    </row>
    <row r="32" spans="9:9">
      <c r="I32" s="84">
        <v>0</v>
      </c>
    </row>
    <row r="33" spans="9:9">
      <c r="I33" s="84">
        <v>0</v>
      </c>
    </row>
    <row r="34" spans="9:9">
      <c r="I34" s="84">
        <v>0</v>
      </c>
    </row>
    <row r="35" spans="9:9">
      <c r="I35" s="84">
        <v>0</v>
      </c>
    </row>
    <row r="36" spans="9:9">
      <c r="I36" s="84">
        <v>0</v>
      </c>
    </row>
    <row r="37" spans="9:9">
      <c r="I37" s="84">
        <v>0</v>
      </c>
    </row>
    <row r="38" spans="9:9">
      <c r="I38" s="84">
        <v>0</v>
      </c>
    </row>
    <row r="39" spans="9:9">
      <c r="I39" s="84">
        <v>0</v>
      </c>
    </row>
    <row r="40" spans="9:9">
      <c r="I40" s="84">
        <v>0</v>
      </c>
    </row>
    <row r="41" spans="9:9">
      <c r="I41" s="84">
        <v>0</v>
      </c>
    </row>
    <row r="42" spans="9:9">
      <c r="I42" s="84">
        <v>0</v>
      </c>
    </row>
    <row r="43" spans="9:9">
      <c r="I43" s="84">
        <v>0</v>
      </c>
    </row>
    <row r="44" spans="9:9">
      <c r="I44" s="84">
        <v>0</v>
      </c>
    </row>
    <row r="45" spans="9:9">
      <c r="I45" s="84">
        <v>0</v>
      </c>
    </row>
    <row r="46" spans="9:9">
      <c r="I46" s="84">
        <v>0</v>
      </c>
    </row>
    <row r="47" spans="9:9">
      <c r="I47" s="84">
        <v>0</v>
      </c>
    </row>
    <row r="48" spans="9:9">
      <c r="I48" s="84">
        <v>0</v>
      </c>
    </row>
    <row r="49" spans="9:9">
      <c r="I49" s="84">
        <v>0</v>
      </c>
    </row>
    <row r="50" spans="9:9">
      <c r="I50" s="84">
        <v>0</v>
      </c>
    </row>
    <row r="51" spans="9:9">
      <c r="I51" s="84">
        <v>0</v>
      </c>
    </row>
    <row r="52" spans="9:9">
      <c r="I52" s="84">
        <v>0</v>
      </c>
    </row>
    <row r="53" spans="9:9">
      <c r="I53" s="84">
        <v>0</v>
      </c>
    </row>
    <row r="54" spans="9:9">
      <c r="I54" s="84">
        <v>0</v>
      </c>
    </row>
    <row r="55" spans="9:9">
      <c r="I55" s="84">
        <v>0</v>
      </c>
    </row>
    <row r="56" spans="9:9">
      <c r="I56" s="84">
        <v>0</v>
      </c>
    </row>
    <row r="57" spans="9:9">
      <c r="I57" s="84">
        <v>0</v>
      </c>
    </row>
    <row r="58" spans="9:9">
      <c r="I58" s="84">
        <v>0</v>
      </c>
    </row>
    <row r="59" spans="9:9">
      <c r="I59" s="84">
        <v>0</v>
      </c>
    </row>
    <row r="60" spans="9:9">
      <c r="I60" s="84">
        <v>0</v>
      </c>
    </row>
  </sheetData>
  <mergeCells count="1">
    <mergeCell ref="A1:H1"/>
  </mergeCells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B48"/>
  <sheetViews>
    <sheetView topLeftCell="A10" workbookViewId="0">
      <selection activeCell="B16" sqref="B16"/>
    </sheetView>
  </sheetViews>
  <sheetFormatPr defaultRowHeight="12.75"/>
  <cols>
    <col min="1" max="1" width="44" customWidth="1"/>
    <col min="2" max="2" width="45.42578125" style="70" customWidth="1"/>
  </cols>
  <sheetData>
    <row r="1" spans="1:2" ht="13.5" thickBot="1">
      <c r="A1" s="48"/>
    </row>
    <row r="2" spans="1:2" ht="13.5" thickBot="1">
      <c r="A2" s="33" t="s">
        <v>233</v>
      </c>
      <c r="B2" t="s">
        <v>269</v>
      </c>
    </row>
    <row r="3" spans="1:2" ht="13.5" thickBot="1">
      <c r="A3" s="33" t="s">
        <v>234</v>
      </c>
      <c r="B3" t="s">
        <v>269</v>
      </c>
    </row>
    <row r="4" spans="1:2" ht="13.5" thickBot="1">
      <c r="A4" s="33" t="s">
        <v>235</v>
      </c>
      <c r="B4" t="s">
        <v>269</v>
      </c>
    </row>
    <row r="5" spans="1:2" ht="13.5" thickBot="1">
      <c r="A5" s="32" t="s">
        <v>226</v>
      </c>
      <c r="B5" s="70" t="s">
        <v>269</v>
      </c>
    </row>
    <row r="6" spans="1:2" ht="13.5" thickBot="1">
      <c r="A6" s="32" t="s">
        <v>200</v>
      </c>
      <c r="B6" s="70" t="s">
        <v>269</v>
      </c>
    </row>
    <row r="7" spans="1:2" ht="13.5" thickBot="1">
      <c r="A7" s="33" t="s">
        <v>201</v>
      </c>
      <c r="B7" s="70" t="s">
        <v>269</v>
      </c>
    </row>
    <row r="8" spans="1:2" ht="13.5" thickBot="1">
      <c r="A8" s="33" t="s">
        <v>202</v>
      </c>
      <c r="B8" s="70" t="s">
        <v>269</v>
      </c>
    </row>
    <row r="9" spans="1:2" ht="13.5" thickBot="1">
      <c r="A9" s="33" t="s">
        <v>52</v>
      </c>
      <c r="B9" s="70" t="s">
        <v>269</v>
      </c>
    </row>
    <row r="10" spans="1:2" ht="13.5" thickBot="1">
      <c r="A10" s="33" t="s">
        <v>92</v>
      </c>
      <c r="B10" s="70" t="s">
        <v>269</v>
      </c>
    </row>
    <row r="11" spans="1:2" ht="13.5" thickBot="1">
      <c r="A11" s="33" t="s">
        <v>203</v>
      </c>
      <c r="B11" s="70" t="s">
        <v>269</v>
      </c>
    </row>
    <row r="12" spans="1:2" ht="13.5" thickBot="1">
      <c r="A12" s="33" t="s">
        <v>204</v>
      </c>
      <c r="B12" s="70" t="s">
        <v>269</v>
      </c>
    </row>
    <row r="13" spans="1:2" ht="13.5" thickBot="1">
      <c r="A13" s="33" t="s">
        <v>203</v>
      </c>
      <c r="B13" s="70" t="s">
        <v>269</v>
      </c>
    </row>
    <row r="14" spans="1:2" ht="13.5" thickBot="1">
      <c r="A14" s="32" t="s">
        <v>204</v>
      </c>
      <c r="B14" s="70" t="s">
        <v>269</v>
      </c>
    </row>
    <row r="15" spans="1:2" ht="13.5" thickBot="1">
      <c r="A15" s="32" t="s">
        <v>205</v>
      </c>
      <c r="B15" s="70" t="s">
        <v>269</v>
      </c>
    </row>
    <row r="16" spans="1:2" ht="13.5" thickBot="1">
      <c r="A16" s="33" t="s">
        <v>92</v>
      </c>
      <c r="B16" s="70" t="s">
        <v>409</v>
      </c>
    </row>
    <row r="17" spans="1:2">
      <c r="A17" s="59" t="s">
        <v>207</v>
      </c>
      <c r="B17" s="70" t="s">
        <v>410</v>
      </c>
    </row>
    <row r="18" spans="1:2">
      <c r="A18" s="59" t="s">
        <v>208</v>
      </c>
      <c r="B18" s="70" t="s">
        <v>269</v>
      </c>
    </row>
    <row r="19" spans="1:2">
      <c r="A19" s="59" t="s">
        <v>209</v>
      </c>
      <c r="B19" s="70" t="s">
        <v>269</v>
      </c>
    </row>
    <row r="20" spans="1:2">
      <c r="A20" s="59" t="s">
        <v>210</v>
      </c>
      <c r="B20" s="70" t="s">
        <v>269</v>
      </c>
    </row>
    <row r="21" spans="1:2" ht="13.5" thickBot="1">
      <c r="A21" s="59" t="s">
        <v>218</v>
      </c>
      <c r="B21" s="70" t="s">
        <v>269</v>
      </c>
    </row>
    <row r="22" spans="1:2" ht="13.5" thickBot="1">
      <c r="A22" s="32" t="s">
        <v>206</v>
      </c>
      <c r="B22" s="70" t="s">
        <v>269</v>
      </c>
    </row>
    <row r="23" spans="1:2" ht="13.5" thickBot="1">
      <c r="A23" s="32" t="s">
        <v>92</v>
      </c>
      <c r="B23" s="70" t="s">
        <v>269</v>
      </c>
    </row>
    <row r="24" spans="1:2">
      <c r="A24" s="34" t="s">
        <v>208</v>
      </c>
      <c r="B24" s="70" t="s">
        <v>269</v>
      </c>
    </row>
    <row r="25" spans="1:2">
      <c r="A25" s="35" t="s">
        <v>209</v>
      </c>
      <c r="B25" s="70" t="s">
        <v>269</v>
      </c>
    </row>
    <row r="26" spans="1:2" ht="13.5" thickBot="1">
      <c r="A26" s="36" t="s">
        <v>210</v>
      </c>
      <c r="B26" s="70" t="s">
        <v>269</v>
      </c>
    </row>
    <row r="27" spans="1:2">
      <c r="A27" s="37" t="s">
        <v>211</v>
      </c>
      <c r="B27" s="70" t="s">
        <v>269</v>
      </c>
    </row>
    <row r="28" spans="1:2">
      <c r="A28" s="38" t="s">
        <v>212</v>
      </c>
      <c r="B28" s="70" t="s">
        <v>269</v>
      </c>
    </row>
    <row r="29" spans="1:2">
      <c r="A29" s="38" t="s">
        <v>213</v>
      </c>
      <c r="B29" s="70" t="s">
        <v>269</v>
      </c>
    </row>
    <row r="30" spans="1:2" ht="13.5" thickBot="1">
      <c r="A30" s="39" t="s">
        <v>214</v>
      </c>
      <c r="B30" s="70" t="s">
        <v>269</v>
      </c>
    </row>
    <row r="31" spans="1:2" ht="13.5" thickBot="1">
      <c r="A31" s="60" t="s">
        <v>217</v>
      </c>
      <c r="B31" s="70" t="s">
        <v>269</v>
      </c>
    </row>
    <row r="32" spans="1:2">
      <c r="A32" s="37" t="s">
        <v>215</v>
      </c>
      <c r="B32" s="70" t="s">
        <v>269</v>
      </c>
    </row>
    <row r="33" spans="1:2" ht="26.25" thickBot="1">
      <c r="A33" s="39" t="s">
        <v>216</v>
      </c>
      <c r="B33" s="70" t="s">
        <v>269</v>
      </c>
    </row>
    <row r="34" spans="1:2" ht="13.5" thickBot="1">
      <c r="A34" s="40" t="s">
        <v>208</v>
      </c>
      <c r="B34" s="70" t="s">
        <v>269</v>
      </c>
    </row>
    <row r="35" spans="1:2" ht="13.5" thickBot="1">
      <c r="A35" s="40" t="s">
        <v>209</v>
      </c>
      <c r="B35" s="70" t="s">
        <v>269</v>
      </c>
    </row>
    <row r="36" spans="1:2" ht="13.5" thickBot="1">
      <c r="A36" s="40" t="s">
        <v>210</v>
      </c>
      <c r="B36" s="70" t="s">
        <v>269</v>
      </c>
    </row>
    <row r="37" spans="1:2" ht="13.5" thickBot="1">
      <c r="A37" s="45" t="s">
        <v>207</v>
      </c>
      <c r="B37" s="70" t="s">
        <v>269</v>
      </c>
    </row>
    <row r="38" spans="1:2">
      <c r="A38" s="41" t="s">
        <v>26</v>
      </c>
      <c r="B38" s="70" t="s">
        <v>411</v>
      </c>
    </row>
    <row r="39" spans="1:2" ht="13.5" thickBot="1">
      <c r="A39" s="42" t="s">
        <v>61</v>
      </c>
      <c r="B39" s="70" t="s">
        <v>269</v>
      </c>
    </row>
    <row r="40" spans="1:2" ht="13.5" thickBot="1">
      <c r="A40" s="43" t="s">
        <v>218</v>
      </c>
      <c r="B40" s="70" t="s">
        <v>269</v>
      </c>
    </row>
    <row r="41" spans="1:2" ht="13.5" thickBot="1">
      <c r="A41" s="33" t="s">
        <v>364</v>
      </c>
      <c r="B41" s="70" t="s">
        <v>269</v>
      </c>
    </row>
    <row r="42" spans="1:2" ht="13.5" thickBot="1">
      <c r="A42" s="33" t="s">
        <v>365</v>
      </c>
      <c r="B42" s="70" t="s">
        <v>269</v>
      </c>
    </row>
    <row r="43" spans="1:2" ht="13.5" thickBot="1">
      <c r="A43" s="33" t="s">
        <v>366</v>
      </c>
      <c r="B43" s="70" t="s">
        <v>269</v>
      </c>
    </row>
    <row r="44" spans="1:2" ht="13.5" thickBot="1">
      <c r="A44" s="32" t="s">
        <v>367</v>
      </c>
      <c r="B44" s="70" t="s">
        <v>269</v>
      </c>
    </row>
    <row r="45" spans="1:2" ht="13.5" thickBot="1">
      <c r="A45" s="33" t="s">
        <v>368</v>
      </c>
      <c r="B45" s="70" t="s">
        <v>269</v>
      </c>
    </row>
    <row r="46" spans="1:2" ht="13.5" thickBot="1">
      <c r="A46" s="33" t="s">
        <v>369</v>
      </c>
      <c r="B46" s="70" t="s">
        <v>269</v>
      </c>
    </row>
    <row r="47" spans="1:2" ht="13.5" thickBot="1">
      <c r="A47" s="33" t="s">
        <v>370</v>
      </c>
      <c r="B47" s="70" t="s">
        <v>269</v>
      </c>
    </row>
    <row r="48" spans="1:2" ht="13.5" thickBot="1">
      <c r="A48" s="32" t="s">
        <v>371</v>
      </c>
      <c r="B48" s="70" t="s">
        <v>269</v>
      </c>
    </row>
  </sheetData>
  <phoneticPr fontId="0" type="noConversion"/>
  <pageMargins left="0.75" right="0.75" top="1" bottom="1" header="0.5" footer="0.5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J42"/>
  <sheetViews>
    <sheetView workbookViewId="0">
      <selection activeCell="F20" sqref="F20"/>
    </sheetView>
  </sheetViews>
  <sheetFormatPr defaultRowHeight="12.75"/>
  <cols>
    <col min="1" max="1" width="17.7109375" style="49" customWidth="1"/>
    <col min="2" max="2" width="16" style="49" customWidth="1"/>
    <col min="3" max="3" width="17.140625" style="50" customWidth="1"/>
    <col min="4" max="4" width="14.140625" style="50" customWidth="1"/>
    <col min="5" max="5" width="9.140625" style="51"/>
    <col min="6" max="6" width="14.28515625" style="51" customWidth="1"/>
    <col min="7" max="7" width="17" style="66" customWidth="1"/>
    <col min="8" max="8" width="14.42578125" style="66" customWidth="1"/>
  </cols>
  <sheetData>
    <row r="1" spans="1:8" ht="15">
      <c r="A1" s="56" t="s">
        <v>127</v>
      </c>
      <c r="B1" s="56" t="s">
        <v>128</v>
      </c>
      <c r="C1" s="57" t="s">
        <v>127</v>
      </c>
      <c r="D1" s="57" t="s">
        <v>129</v>
      </c>
      <c r="E1" s="58" t="s">
        <v>127</v>
      </c>
      <c r="F1" s="69" t="s">
        <v>130</v>
      </c>
      <c r="G1" s="65" t="s">
        <v>127</v>
      </c>
      <c r="H1" s="65" t="s">
        <v>225</v>
      </c>
    </row>
    <row r="2" spans="1:8">
      <c r="A2" s="52" t="s">
        <v>131</v>
      </c>
      <c r="B2" s="52" t="s">
        <v>132</v>
      </c>
      <c r="C2" s="53" t="s">
        <v>303</v>
      </c>
      <c r="D2" s="53" t="s">
        <v>283</v>
      </c>
      <c r="E2" s="54" t="s">
        <v>313</v>
      </c>
      <c r="F2" s="68" t="s">
        <v>283</v>
      </c>
      <c r="G2" s="66" t="s">
        <v>227</v>
      </c>
      <c r="H2" s="66" t="s">
        <v>132</v>
      </c>
    </row>
    <row r="3" spans="1:8">
      <c r="A3" s="52" t="s">
        <v>133</v>
      </c>
      <c r="B3" s="52" t="s">
        <v>134</v>
      </c>
      <c r="C3" s="53" t="s">
        <v>304</v>
      </c>
      <c r="D3" s="53" t="s">
        <v>134</v>
      </c>
      <c r="E3" s="54" t="s">
        <v>314</v>
      </c>
      <c r="F3" s="68" t="s">
        <v>134</v>
      </c>
      <c r="G3" s="66" t="s">
        <v>228</v>
      </c>
      <c r="H3" s="66" t="s">
        <v>134</v>
      </c>
    </row>
    <row r="4" spans="1:8">
      <c r="A4" s="52" t="s">
        <v>152</v>
      </c>
      <c r="B4" s="52" t="s">
        <v>219</v>
      </c>
      <c r="C4" s="53" t="s">
        <v>305</v>
      </c>
      <c r="D4" s="53" t="s">
        <v>273</v>
      </c>
      <c r="E4" s="54" t="s">
        <v>315</v>
      </c>
      <c r="F4" s="68" t="s">
        <v>273</v>
      </c>
      <c r="G4" s="66" t="s">
        <v>229</v>
      </c>
      <c r="H4" s="66" t="s">
        <v>135</v>
      </c>
    </row>
    <row r="5" spans="1:8">
      <c r="A5" s="52" t="s">
        <v>153</v>
      </c>
      <c r="B5" s="52" t="s">
        <v>138</v>
      </c>
      <c r="C5" s="293" t="s">
        <v>294</v>
      </c>
      <c r="D5" s="53" t="s">
        <v>274</v>
      </c>
      <c r="E5" s="54" t="s">
        <v>316</v>
      </c>
      <c r="F5" s="68" t="s">
        <v>274</v>
      </c>
      <c r="G5" s="66" t="s">
        <v>230</v>
      </c>
      <c r="H5" s="66" t="s">
        <v>136</v>
      </c>
    </row>
    <row r="6" spans="1:8">
      <c r="A6" s="52" t="s">
        <v>154</v>
      </c>
      <c r="B6" s="52" t="s">
        <v>139</v>
      </c>
      <c r="C6" s="294"/>
      <c r="D6" s="53" t="s">
        <v>275</v>
      </c>
      <c r="E6" s="54" t="s">
        <v>317</v>
      </c>
      <c r="F6" s="68" t="s">
        <v>275</v>
      </c>
      <c r="G6" s="66" t="s">
        <v>231</v>
      </c>
      <c r="H6" s="66" t="s">
        <v>137</v>
      </c>
    </row>
    <row r="7" spans="1:8">
      <c r="A7" s="52" t="s">
        <v>155</v>
      </c>
      <c r="B7" s="52" t="s">
        <v>220</v>
      </c>
      <c r="C7" s="294"/>
      <c r="D7" s="53" t="s">
        <v>276</v>
      </c>
      <c r="E7" s="54" t="s">
        <v>318</v>
      </c>
      <c r="F7" s="68" t="s">
        <v>276</v>
      </c>
      <c r="G7" s="66" t="s">
        <v>232</v>
      </c>
      <c r="H7" s="66" t="s">
        <v>138</v>
      </c>
    </row>
    <row r="8" spans="1:8">
      <c r="A8" s="52" t="s">
        <v>156</v>
      </c>
      <c r="B8" s="52" t="s">
        <v>143</v>
      </c>
      <c r="C8" s="295"/>
      <c r="D8" s="53" t="s">
        <v>277</v>
      </c>
      <c r="E8" s="54" t="s">
        <v>319</v>
      </c>
      <c r="F8" s="68" t="s">
        <v>277</v>
      </c>
      <c r="G8" s="66" t="s">
        <v>236</v>
      </c>
      <c r="H8" s="66" t="s">
        <v>139</v>
      </c>
    </row>
    <row r="9" spans="1:8">
      <c r="A9" s="52" t="s">
        <v>157</v>
      </c>
      <c r="B9" s="52" t="s">
        <v>144</v>
      </c>
      <c r="C9" s="293" t="s">
        <v>295</v>
      </c>
      <c r="D9" s="53" t="s">
        <v>278</v>
      </c>
      <c r="E9" s="54"/>
      <c r="F9" s="68"/>
      <c r="G9" s="66" t="s">
        <v>237</v>
      </c>
      <c r="H9" s="66" t="s">
        <v>140</v>
      </c>
    </row>
    <row r="10" spans="1:8">
      <c r="A10" s="52" t="s">
        <v>158</v>
      </c>
      <c r="B10" s="52" t="s">
        <v>145</v>
      </c>
      <c r="C10" s="294"/>
      <c r="D10" s="53" t="s">
        <v>279</v>
      </c>
      <c r="E10" s="54"/>
      <c r="F10" s="68"/>
      <c r="G10" s="66" t="s">
        <v>238</v>
      </c>
      <c r="H10" s="66" t="s">
        <v>141</v>
      </c>
    </row>
    <row r="11" spans="1:8">
      <c r="A11" s="52" t="s">
        <v>159</v>
      </c>
      <c r="B11" s="52" t="s">
        <v>146</v>
      </c>
      <c r="C11" s="294"/>
      <c r="D11" s="53" t="s">
        <v>280</v>
      </c>
      <c r="E11" s="54"/>
      <c r="F11" s="68"/>
      <c r="G11" s="66" t="s">
        <v>239</v>
      </c>
      <c r="H11" s="66" t="s">
        <v>142</v>
      </c>
    </row>
    <row r="12" spans="1:8">
      <c r="A12" s="52" t="s">
        <v>159</v>
      </c>
      <c r="B12" s="52" t="s">
        <v>147</v>
      </c>
      <c r="C12" s="295"/>
      <c r="D12" s="53" t="s">
        <v>281</v>
      </c>
      <c r="E12" s="54"/>
      <c r="F12" s="68"/>
      <c r="G12" s="66" t="s">
        <v>240</v>
      </c>
      <c r="H12" s="66" t="s">
        <v>143</v>
      </c>
    </row>
    <row r="13" spans="1:8">
      <c r="A13" s="52" t="s">
        <v>159</v>
      </c>
      <c r="B13" s="52" t="s">
        <v>148</v>
      </c>
      <c r="C13" s="53" t="s">
        <v>296</v>
      </c>
      <c r="D13" s="53" t="s">
        <v>282</v>
      </c>
      <c r="E13" s="54"/>
      <c r="F13" s="68"/>
      <c r="G13" s="66" t="s">
        <v>241</v>
      </c>
      <c r="H13" s="66" t="s">
        <v>144</v>
      </c>
    </row>
    <row r="14" spans="1:8">
      <c r="A14" s="52" t="s">
        <v>160</v>
      </c>
      <c r="B14" s="52" t="s">
        <v>149</v>
      </c>
      <c r="C14" s="53" t="s">
        <v>297</v>
      </c>
      <c r="D14" s="53" t="s">
        <v>310</v>
      </c>
      <c r="E14" s="54"/>
      <c r="F14" s="68"/>
      <c r="G14" s="66" t="s">
        <v>242</v>
      </c>
      <c r="H14" s="66" t="s">
        <v>145</v>
      </c>
    </row>
    <row r="15" spans="1:8">
      <c r="A15" s="52" t="s">
        <v>161</v>
      </c>
      <c r="B15" s="52" t="s">
        <v>150</v>
      </c>
      <c r="C15" s="53" t="s">
        <v>298</v>
      </c>
      <c r="D15" s="53" t="s">
        <v>311</v>
      </c>
      <c r="E15" s="54"/>
      <c r="F15" s="68"/>
      <c r="G15" s="66" t="s">
        <v>243</v>
      </c>
      <c r="H15" s="66" t="s">
        <v>146</v>
      </c>
    </row>
    <row r="16" spans="1:8">
      <c r="A16" s="52" t="s">
        <v>162</v>
      </c>
      <c r="B16" s="52" t="s">
        <v>151</v>
      </c>
      <c r="C16" s="53" t="s">
        <v>299</v>
      </c>
      <c r="D16" s="53" t="s">
        <v>312</v>
      </c>
      <c r="E16" s="54"/>
      <c r="F16" s="68"/>
      <c r="G16" s="66" t="s">
        <v>244</v>
      </c>
      <c r="H16" s="66" t="s">
        <v>147</v>
      </c>
    </row>
    <row r="17" spans="1:8">
      <c r="A17" s="52" t="s">
        <v>179</v>
      </c>
      <c r="B17" s="52" t="s">
        <v>163</v>
      </c>
      <c r="C17" s="53" t="s">
        <v>300</v>
      </c>
      <c r="D17" s="53" t="s">
        <v>324</v>
      </c>
      <c r="E17" s="54"/>
      <c r="F17" s="68"/>
      <c r="G17" s="66" t="s">
        <v>248</v>
      </c>
      <c r="H17" s="66" t="s">
        <v>148</v>
      </c>
    </row>
    <row r="18" spans="1:8">
      <c r="A18" s="52" t="s">
        <v>270</v>
      </c>
      <c r="B18" s="52" t="s">
        <v>164</v>
      </c>
      <c r="C18" s="53" t="s">
        <v>301</v>
      </c>
      <c r="D18" s="53" t="s">
        <v>325</v>
      </c>
      <c r="E18" s="54"/>
      <c r="F18" s="68"/>
      <c r="G18" s="66" t="s">
        <v>245</v>
      </c>
      <c r="H18" s="66" t="s">
        <v>149</v>
      </c>
    </row>
    <row r="19" spans="1:8">
      <c r="A19" s="52" t="s">
        <v>270</v>
      </c>
      <c r="B19" s="52" t="s">
        <v>165</v>
      </c>
      <c r="C19" s="53" t="s">
        <v>302</v>
      </c>
      <c r="D19" s="53" t="s">
        <v>326</v>
      </c>
      <c r="E19" s="54"/>
      <c r="F19" s="68"/>
      <c r="G19" s="66" t="s">
        <v>246</v>
      </c>
      <c r="H19" s="66" t="s">
        <v>150</v>
      </c>
    </row>
    <row r="20" spans="1:8">
      <c r="A20" s="52" t="s">
        <v>270</v>
      </c>
      <c r="B20" s="52" t="s">
        <v>166</v>
      </c>
      <c r="C20" s="53"/>
      <c r="D20" s="53"/>
      <c r="E20" s="54"/>
      <c r="F20" s="68"/>
      <c r="G20" s="66" t="s">
        <v>247</v>
      </c>
      <c r="H20" s="66" t="s">
        <v>151</v>
      </c>
    </row>
    <row r="21" spans="1:8">
      <c r="A21" s="52" t="s">
        <v>271</v>
      </c>
      <c r="B21" s="52" t="s">
        <v>167</v>
      </c>
      <c r="C21" s="53"/>
      <c r="D21" s="53"/>
      <c r="E21" s="54"/>
      <c r="F21" s="68"/>
      <c r="G21" s="66" t="s">
        <v>249</v>
      </c>
      <c r="H21" s="66" t="s">
        <v>163</v>
      </c>
    </row>
    <row r="22" spans="1:8">
      <c r="A22" s="52" t="s">
        <v>272</v>
      </c>
      <c r="B22" s="52" t="s">
        <v>168</v>
      </c>
      <c r="C22" s="53"/>
      <c r="D22" s="53"/>
      <c r="E22" s="54"/>
      <c r="F22" s="68"/>
      <c r="G22" s="66" t="s">
        <v>250</v>
      </c>
      <c r="H22" s="66" t="s">
        <v>164</v>
      </c>
    </row>
    <row r="23" spans="1:8">
      <c r="A23" s="52" t="s">
        <v>180</v>
      </c>
      <c r="B23" s="52" t="s">
        <v>169</v>
      </c>
      <c r="C23" s="53"/>
      <c r="D23" s="53"/>
      <c r="E23" s="54"/>
      <c r="F23" s="68"/>
      <c r="G23" s="66" t="s">
        <v>251</v>
      </c>
      <c r="H23" s="66" t="s">
        <v>165</v>
      </c>
    </row>
    <row r="24" spans="1:8">
      <c r="A24" s="52" t="s">
        <v>181</v>
      </c>
      <c r="B24" s="52" t="s">
        <v>170</v>
      </c>
      <c r="C24" s="53"/>
      <c r="D24" s="53"/>
      <c r="E24" s="54"/>
      <c r="F24" s="68"/>
      <c r="G24" s="66" t="s">
        <v>252</v>
      </c>
      <c r="H24" s="66" t="s">
        <v>166</v>
      </c>
    </row>
    <row r="25" spans="1:8">
      <c r="A25" s="63" t="s">
        <v>182</v>
      </c>
      <c r="B25" s="52" t="s">
        <v>171</v>
      </c>
      <c r="C25" s="53"/>
      <c r="D25" s="53"/>
      <c r="E25" s="54"/>
      <c r="F25" s="68"/>
      <c r="G25" s="66" t="s">
        <v>253</v>
      </c>
      <c r="H25" s="66" t="s">
        <v>167</v>
      </c>
    </row>
    <row r="26" spans="1:8">
      <c r="A26" s="52" t="s">
        <v>183</v>
      </c>
      <c r="B26" s="52" t="s">
        <v>172</v>
      </c>
      <c r="C26" s="53"/>
      <c r="D26" s="53"/>
      <c r="E26" s="54"/>
      <c r="F26" s="68"/>
      <c r="G26" s="66" t="s">
        <v>254</v>
      </c>
      <c r="H26" s="66" t="s">
        <v>168</v>
      </c>
    </row>
    <row r="27" spans="1:8">
      <c r="A27" s="52" t="s">
        <v>184</v>
      </c>
      <c r="B27" s="52" t="s">
        <v>173</v>
      </c>
      <c r="C27" s="53"/>
      <c r="D27" s="53"/>
      <c r="E27" s="54"/>
      <c r="F27" s="68"/>
      <c r="G27" s="66" t="s">
        <v>255</v>
      </c>
      <c r="H27" s="66" t="s">
        <v>169</v>
      </c>
    </row>
    <row r="28" spans="1:8">
      <c r="A28" s="52" t="s">
        <v>185</v>
      </c>
      <c r="B28" s="52" t="s">
        <v>174</v>
      </c>
      <c r="C28" s="53"/>
      <c r="D28" s="53"/>
      <c r="E28" s="54"/>
      <c r="F28" s="68"/>
      <c r="G28" s="66" t="s">
        <v>256</v>
      </c>
      <c r="H28" s="66" t="s">
        <v>170</v>
      </c>
    </row>
    <row r="29" spans="1:8">
      <c r="A29" s="52" t="s">
        <v>186</v>
      </c>
      <c r="B29" s="52" t="s">
        <v>175</v>
      </c>
      <c r="C29" s="53"/>
      <c r="D29" s="53"/>
      <c r="E29" s="54"/>
      <c r="F29" s="68"/>
      <c r="G29" s="66" t="s">
        <v>257</v>
      </c>
      <c r="H29" s="66" t="s">
        <v>171</v>
      </c>
    </row>
    <row r="30" spans="1:8">
      <c r="A30" s="52" t="s">
        <v>187</v>
      </c>
      <c r="B30" s="52" t="s">
        <v>176</v>
      </c>
      <c r="C30" s="53"/>
      <c r="D30" s="53"/>
      <c r="E30" s="54"/>
      <c r="F30" s="68"/>
      <c r="G30" s="66" t="s">
        <v>258</v>
      </c>
      <c r="H30" s="66" t="s">
        <v>172</v>
      </c>
    </row>
    <row r="31" spans="1:8">
      <c r="A31" s="52" t="s">
        <v>188</v>
      </c>
      <c r="B31" s="52" t="s">
        <v>177</v>
      </c>
      <c r="C31" s="53"/>
      <c r="D31" s="53"/>
      <c r="E31" s="54"/>
      <c r="F31" s="68"/>
      <c r="G31" s="66" t="s">
        <v>259</v>
      </c>
      <c r="H31" s="66" t="s">
        <v>173</v>
      </c>
    </row>
    <row r="32" spans="1:8">
      <c r="A32" s="52" t="s">
        <v>189</v>
      </c>
      <c r="B32" s="52" t="s">
        <v>178</v>
      </c>
      <c r="C32" s="53"/>
      <c r="D32" s="53"/>
      <c r="E32" s="54"/>
      <c r="F32" s="68"/>
      <c r="G32" s="66" t="s">
        <v>260</v>
      </c>
      <c r="H32" s="66" t="s">
        <v>174</v>
      </c>
    </row>
    <row r="33" spans="1:10">
      <c r="A33" s="52" t="s">
        <v>190</v>
      </c>
      <c r="B33" s="52" t="s">
        <v>197</v>
      </c>
      <c r="C33" s="53"/>
      <c r="D33" s="53"/>
      <c r="E33" s="54"/>
      <c r="F33" s="68"/>
      <c r="G33" s="66" t="s">
        <v>261</v>
      </c>
      <c r="H33" s="66" t="s">
        <v>175</v>
      </c>
    </row>
    <row r="34" spans="1:10">
      <c r="A34" s="52" t="s">
        <v>191</v>
      </c>
      <c r="B34" s="52" t="s">
        <v>198</v>
      </c>
      <c r="C34" s="53"/>
      <c r="D34" s="53"/>
      <c r="E34" s="54"/>
      <c r="F34" s="68"/>
      <c r="G34" s="66" t="s">
        <v>262</v>
      </c>
      <c r="H34" s="66" t="s">
        <v>176</v>
      </c>
    </row>
    <row r="35" spans="1:10">
      <c r="A35" s="52" t="s">
        <v>194</v>
      </c>
      <c r="B35" s="52" t="s">
        <v>199</v>
      </c>
      <c r="C35" s="53"/>
      <c r="D35" s="53"/>
      <c r="E35" s="54"/>
      <c r="F35" s="68"/>
      <c r="G35" s="66" t="s">
        <v>263</v>
      </c>
      <c r="H35" s="66" t="s">
        <v>177</v>
      </c>
    </row>
    <row r="36" spans="1:10">
      <c r="A36" s="52" t="s">
        <v>195</v>
      </c>
      <c r="B36" s="52" t="s">
        <v>221</v>
      </c>
      <c r="C36" s="53"/>
      <c r="D36" s="53"/>
      <c r="E36" s="54"/>
      <c r="F36" s="68"/>
      <c r="G36" s="66" t="s">
        <v>264</v>
      </c>
      <c r="H36" s="66" t="s">
        <v>178</v>
      </c>
    </row>
    <row r="37" spans="1:10">
      <c r="A37" s="52" t="s">
        <v>196</v>
      </c>
      <c r="B37" s="52" t="s">
        <v>222</v>
      </c>
      <c r="C37" s="53"/>
      <c r="D37" s="53"/>
      <c r="E37" s="54"/>
      <c r="F37" s="68"/>
      <c r="G37" s="66" t="s">
        <v>265</v>
      </c>
      <c r="H37" s="66" t="s">
        <v>197</v>
      </c>
      <c r="J37" t="s">
        <v>269</v>
      </c>
    </row>
    <row r="38" spans="1:10">
      <c r="A38" s="52" t="s">
        <v>193</v>
      </c>
      <c r="B38" s="55" t="s">
        <v>223</v>
      </c>
      <c r="C38" s="53"/>
      <c r="D38" s="53"/>
      <c r="E38" s="54"/>
      <c r="F38" s="68"/>
      <c r="G38" s="66" t="s">
        <v>266</v>
      </c>
      <c r="H38" s="66" t="s">
        <v>198</v>
      </c>
    </row>
    <row r="39" spans="1:10">
      <c r="A39" s="52" t="s">
        <v>290</v>
      </c>
      <c r="B39" s="55" t="s">
        <v>224</v>
      </c>
      <c r="C39" s="53"/>
      <c r="D39" s="53"/>
      <c r="E39" s="54"/>
      <c r="F39" s="68"/>
      <c r="G39" s="66" t="s">
        <v>267</v>
      </c>
      <c r="H39" s="66" t="s">
        <v>199</v>
      </c>
    </row>
    <row r="40" spans="1:10">
      <c r="A40" s="49" t="s">
        <v>291</v>
      </c>
      <c r="B40" s="49" t="s">
        <v>292</v>
      </c>
      <c r="G40" s="66" t="s">
        <v>268</v>
      </c>
      <c r="H40" s="66" t="s">
        <v>221</v>
      </c>
    </row>
    <row r="42" spans="1:10">
      <c r="H42" s="67"/>
    </row>
  </sheetData>
  <mergeCells count="2">
    <mergeCell ref="C5:C8"/>
    <mergeCell ref="C9:C12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LIST1</vt:lpstr>
      <vt:lpstr>Itemdata_1.1</vt:lpstr>
      <vt:lpstr>Itemdata_1.2</vt:lpstr>
      <vt:lpstr>Itemdata_2.1</vt:lpstr>
      <vt:lpstr>Itemdata_2.2</vt:lpstr>
      <vt:lpstr>Itemdata_2.3</vt:lpstr>
      <vt:lpstr>Itemdata_3.1</vt:lpstr>
      <vt:lpstr>Соответствие</vt:lpstr>
    </vt:vector>
  </TitlesOfParts>
  <Company>NPO VMI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Mariya.Petrovceva</dc:creator>
  <cp:lastModifiedBy>Mariya.Petrovceva</cp:lastModifiedBy>
  <cp:lastPrinted>2010-06-03T04:06:25Z</cp:lastPrinted>
  <dcterms:created xsi:type="dcterms:W3CDTF">2003-02-26T08:47:05Z</dcterms:created>
  <dcterms:modified xsi:type="dcterms:W3CDTF">2013-10-21T11:07:03Z</dcterms:modified>
</cp:coreProperties>
</file>