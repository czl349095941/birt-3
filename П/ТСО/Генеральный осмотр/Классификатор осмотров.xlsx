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270" windowWidth="10515" windowHeight="5715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E2" i="1" l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1" i="2"/>
  <c r="C20" i="1"/>
  <c r="D22" i="1" l="1"/>
  <c r="D23" i="1"/>
  <c r="D24" i="1"/>
  <c r="D25" i="1"/>
  <c r="D26" i="1"/>
  <c r="D27" i="1"/>
  <c r="D28" i="1"/>
  <c r="D29" i="1"/>
  <c r="D30" i="1"/>
  <c r="D21" i="1"/>
  <c r="C21" i="1"/>
  <c r="D20" i="1" l="1"/>
  <c r="D19" i="1" l="1"/>
  <c r="D13" i="1"/>
  <c r="D14" i="1"/>
  <c r="D15" i="1"/>
  <c r="D16" i="1"/>
  <c r="D17" i="1"/>
  <c r="D18" i="1"/>
  <c r="D12" i="1"/>
  <c r="D11" i="1"/>
  <c r="D10" i="1"/>
  <c r="D9" i="1"/>
  <c r="D8" i="1"/>
  <c r="D7" i="1"/>
  <c r="D6" i="1"/>
  <c r="D5" i="1"/>
  <c r="D4" i="1"/>
  <c r="D3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<sst xmlns="http://schemas.openxmlformats.org/spreadsheetml/2006/main" count="63" uniqueCount="63">
  <si>
    <t>CLASSSTRUCTUREID</t>
  </si>
  <si>
    <t>DESCRIPTION</t>
  </si>
  <si>
    <t>PARENT</t>
  </si>
  <si>
    <t>CLASSIFICATIONID</t>
  </si>
  <si>
    <t>Осмотры</t>
  </si>
  <si>
    <t>INSPEC</t>
  </si>
  <si>
    <t>Натурные</t>
  </si>
  <si>
    <t>Осмотры при сопровождении путеизмерительных и дефектоскопных средств, а также проездом в локомотиве, хвостовом вагоне или дрезине</t>
  </si>
  <si>
    <t>Текущие</t>
  </si>
  <si>
    <t>Комиссионные</t>
  </si>
  <si>
    <t>Совместно- комиссионные</t>
  </si>
  <si>
    <t>Постоянные</t>
  </si>
  <si>
    <t>Периодические</t>
  </si>
  <si>
    <t>Дополнительные (внеочередные)</t>
  </si>
  <si>
    <t>Специальные</t>
  </si>
  <si>
    <t>Генеральный весенний осмотр (проводится начальником дороги)</t>
  </si>
  <si>
    <t>Генеральный осенний осмотр (проводится начальником дороги)</t>
  </si>
  <si>
    <t>Зимний (внеочередной)</t>
  </si>
  <si>
    <t>Основной Месячный осмотр</t>
  </si>
  <si>
    <t>Дополнительный месячный осмотр (на участках со скоростным и высокоскоростным движением)</t>
  </si>
  <si>
    <t>Квартальный</t>
  </si>
  <si>
    <t>Весенний осмотр</t>
  </si>
  <si>
    <t>Осенний осмотр</t>
  </si>
  <si>
    <t>Промеры</t>
  </si>
  <si>
    <t>Промеры стыковых зазоров</t>
  </si>
  <si>
    <t>Промеры стрел прогиба кривых, соответствия проектной кривой её фактическому положению</t>
  </si>
  <si>
    <t>Осмотр (выбраковка) шпал, стрелочных и мостовых брусьев и определение их пригодности</t>
  </si>
  <si>
    <t>Промеры износов рельсов (вертикального и горизонтального) с маркировкой дефектных</t>
  </si>
  <si>
    <t>Промеры колеи по шаблону и уровню</t>
  </si>
  <si>
    <t>Промеры стрелочных переводов по шаблону и уровню, ширине желобов, шагу остряка, износу рамных рельс, остряков и крестовин, ординат в переводной и закрестовинной кривых</t>
  </si>
  <si>
    <t>Визуальная проверка состояния балластной призмы</t>
  </si>
  <si>
    <t>Осмотр и выявление дефектных и отсутствующих скреплений</t>
  </si>
  <si>
    <t>Осмотр состояния рельсовых цепей</t>
  </si>
  <si>
    <t>Генеральный осмотр (проводится начальником дистанции)</t>
  </si>
  <si>
    <t>'010002000000',</t>
  </si>
  <si>
    <t>'010002000001',</t>
  </si>
  <si>
    <t>'010002000002',</t>
  </si>
  <si>
    <t>'010002000003',</t>
  </si>
  <si>
    <t>'010002000004',</t>
  </si>
  <si>
    <t>'010002000005',</t>
  </si>
  <si>
    <t>'010002000006',</t>
  </si>
  <si>
    <t>'010002000007',</t>
  </si>
  <si>
    <t>'010002000008',</t>
  </si>
  <si>
    <t>'010002000009',</t>
  </si>
  <si>
    <t>'010002000050',</t>
  </si>
  <si>
    <t>'010002000051',</t>
  </si>
  <si>
    <t>'010002000052',</t>
  </si>
  <si>
    <t>'010002000054',</t>
  </si>
  <si>
    <t>'010002000055',</t>
  </si>
  <si>
    <t>'010002000056',</t>
  </si>
  <si>
    <t>'010002000057',</t>
  </si>
  <si>
    <t>'010002000100',</t>
  </si>
  <si>
    <t>'010002000101',</t>
  </si>
  <si>
    <t>'010002000102',</t>
  </si>
  <si>
    <t>'010002000103',</t>
  </si>
  <si>
    <t>'010002000104',</t>
  </si>
  <si>
    <t>'010002000105',</t>
  </si>
  <si>
    <t>'010002000106',</t>
  </si>
  <si>
    <t>'010002000107',</t>
  </si>
  <si>
    <t>'010002000108',</t>
  </si>
  <si>
    <t>'010002000109',</t>
  </si>
  <si>
    <t>'010002000110',</t>
  </si>
  <si>
    <t>'010002000111',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</si>
</sst>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/>
    <xf numFmtId="0" fontId="0" fillId="0" borderId="1" xfId="0" applyBorder="1" applyAlignment="1"/>
    <xf numFmtId="0" fontId="1" fillId="0" borderId="1" xfId="0" applyFont="1" applyBorder="1" applyAlignment="1"/>
    <xf numFmtId="0" fontId="0" fillId="0" borderId="2" xfId="0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workbookViewId="0">
      <selection activeCell="A19" sqref="A19:A20"/>
    </sheetView>
  </sheetViews>
  <sheetFormatPr defaultRowHeight="15" x14ac:dyDescent="0.25"/>
  <cols>
    <col min="1" max="1" width="18.42578125" customWidth="1"/>
    <col min="2" max="2" width="40" style="1" customWidth="1"/>
    <col min="3" max="3" width="17.5703125" customWidth="1"/>
    <col min="4" max="4" width="23.85546875" customWidth="1"/>
  </cols>
  <sheetData>
    <row r="1" spans="1:5" x14ac:dyDescent="0.25">
      <c r="A1" s="3" t="s">
        <v>0</v>
      </c>
      <c r="B1" s="4" t="s">
        <v>1</v>
      </c>
      <c r="C1" s="3" t="s">
        <v>2</v>
      </c>
      <c r="D1" s="3" t="s">
        <v>3</v>
      </c>
    </row>
    <row r="2" spans="1:5" x14ac:dyDescent="0.25">
      <c r="A2" s="2">
        <v>10002000000</v>
      </c>
      <c r="B2" s="5" t="s">
        <v>4</v>
      </c>
      <c r="C2" s="2"/>
      <c r="D2" s="2" t="s">
        <v>5</v>
      </c>
      <c r="E2" t="str">
        <f>"&lt;CLASSSTRUCTURE&gt;&lt;CLASSSTRUCTUREID&gt;0"&amp;A2&amp;"&lt;/CLASSSTRUCTUREID&gt;&lt;DESCRIPTION&gt;&lt;![CDATA["&amp;B2&amp;"]]&gt;&lt;/DESCRIPTION&gt;&lt;PARENT&gt;0"&amp;C2&amp;"&lt;/PARENT&gt;&lt;CLASSIFICATIONID&gt;"&amp;D2&amp;"&lt;/CLASSIFICATIONID&gt;&lt;CLASSUSEWITH&gt;&lt;DESCRIPTION&gt;Применять с точками километра&lt;/DESCRIPTION&gt;&lt;OBJECTNAME&gt;INSPEC_POINT&lt;/OBJECTNAME&gt;&lt;OBJECTVALUE&gt;INSPEC_POINT&lt;/OBJECTVALUE&gt;&lt;TOPLEVEL&gt;0&lt;/TOPLEVEL&gt;&lt;/CLASSUSEWITH&gt;&lt;CLASSUSEWITH&gt;"&amp;"&lt;DESCRIPTION&gt;Применять с рабочими заданиями&lt;/DESCRIPTION&gt;&lt;OBJECTNAME&gt;WORKORDER&lt;/OBJECTNAME&gt;"&amp;"&lt;OBJECTVALUE&gt;РАБОЧЕЕЗАДАНИЕ&lt;/OBJECTVALUE&gt;&lt;TOPLEVEL&gt;0&lt;/TOPLEVEL&gt;&lt;/CLASSUSEWITH&gt;&lt;/CLASSSTRUCTURE&gt;"</f>
        <v>&lt;CLASSSTRUCTURE&gt;&lt;CLASSSTRUCTUREID&gt;010002000000&lt;/CLASSSTRUCTUREID&gt;&lt;DESCRIPTION&gt;&lt;![CDATA[Осмотры]]&gt;&lt;/DESCRIPTION&gt;&lt;PARENT&gt;0&lt;/PARENT&gt;&lt;CLASSIFICATIONID&gt;INSPEC&lt;/CLASSIFICATIONID&gt;&lt;CLASSUSEWITH&gt;&lt;DESCRIPTION&gt;Применять с точками километра&lt;/DESCRIPTION&gt;&lt;OBJECTNAME&gt;INSPEC_POINT&lt;/OBJECTNAME&gt;&lt;OBJECTVALUE&gt;INSPEC_POINT&lt;/OBJECTVALUE&gt;&lt;TOPLEVEL&gt;0&lt;/TOPLEVEL&gt;&lt;/CLASSUSEWITH&gt;&lt;CLASSUSEWITH&gt;&lt;DESCRIPTION&gt;Применять с рабочими заданиями&lt;/DESCRIPTION&gt;&lt;OBJECTNAME&gt;WORKORDER&lt;/OBJECTNAME&gt;&lt;OBJECTVALUE&gt;РАБОЧЕЕЗАДАНИЕ&lt;/OBJECTVALUE&gt;&lt;TOPLEVEL&gt;0&lt;/TOPLEVEL&gt;&lt;/CLASSUSEWITH&gt;&lt;/CLASSSTRUCTURE&gt;</v>
      </c>
    </row>
    <row r="3" spans="1:5" x14ac:dyDescent="0.25">
      <c r="A3" s="2">
        <v>10002000001</v>
      </c>
      <c r="B3" s="5" t="s">
        <v>6</v>
      </c>
      <c r="C3" s="2">
        <f>$A$2</f>
        <v>10002000000</v>
      </c>
      <c r="D3" s="2" t="str">
        <f>"INSPEC_TYPE_"&amp;RIGHT(A3,1)</f>
        <v>INSPEC_TYPE_1</v>
      </c>
      <c r="E3" t="str">
        <f t="shared" ref="E3:E30" si="0">"&lt;CLASSSTRUCTURE&gt;&lt;CLASSSTRUCTUREID&gt;0"&amp;A3&amp;"&lt;/CLASSSTRUCTUREID&gt;&lt;DESCRIPTION&gt;&lt;![CDATA["&amp;B3&amp;"]]&gt;&lt;/DESCRIPTION&gt;&lt;PARENT&gt;0"&amp;C3&amp;"&lt;/PARENT&gt;&lt;CLASSIFICATIONID&gt;"&amp;D3&amp;"&lt;/CLASSIFICATIONID&gt;&lt;CLASSUSEWITH&gt;&lt;DESCRIPTION&gt;Применять с точками километра&lt;/DESCRIPTION&gt;&lt;OBJECTNAME&gt;INSPEC_POINT&lt;/OBJECTNAME&gt;&lt;OBJECTVALUE&gt;INSPEC_POINT&lt;/OBJECTVALUE&gt;&lt;TOPLEVEL&gt;0&lt;/TOPLEVEL&gt;&lt;/CLASSUSEWITH&gt;&lt;CLASSUSEWITH&gt;"&amp;"&lt;DESCRIPTION&gt;Применять с рабочими заданиями&lt;/DESCRIPTION&gt;&lt;OBJECTNAME&gt;WORKORDER&lt;/OBJECTNAME&gt;"&amp;"&lt;OBJECTVALUE&gt;РАБОЧЕЕЗАДАНИЕ&lt;/OBJECTVALUE&gt;&lt;TOPLEVEL&gt;0&lt;/TOPLEVEL&gt;&lt;/CLASSUSEWITH&gt;&lt;/CLASSSTRUCTURE&gt;"</f>
        <v>&lt;CLASSSTRUCTURE&gt;&lt;CLASSSTRUCTUREID&gt;010002000001&lt;/CLASSSTRUCTUREID&gt;&lt;DESCRIPTION&gt;&lt;![CDATA[Натурные]]&gt;&lt;/DESCRIPTION&gt;&lt;PARENT&gt;010002000000&lt;/PARENT&gt;&lt;CLASSIFICATIONID&gt;INSPEC_TYPE_1&lt;/CLASSIFICATIONID&gt;&lt;CLASSUSEWITH&gt;&lt;DESCRIPTION&gt;Применять с точками километра&lt;/DESCRIPTION&gt;&lt;OBJECTNAME&gt;INSPEC_POINT&lt;/OBJECTNAME&gt;&lt;OBJECTVALUE&gt;INSPEC_POINT&lt;/OBJECTVALUE&gt;&lt;TOPLEVEL&gt;0&lt;/TOPLEVEL&gt;&lt;/CLASSUSEWITH&gt;&lt;CLASSUSEWITH&gt;&lt;DESCRIPTION&gt;Применять с рабочими заданиями&lt;/DESCRIPTION&gt;&lt;OBJECTNAME&gt;WORKORDER&lt;/OBJECTNAME&gt;&lt;OBJECTVALUE&gt;РАБОЧЕЕЗАДАНИЕ&lt;/OBJECTVALUE&gt;&lt;TOPLEVEL&gt;0&lt;/TOPLEVEL&gt;&lt;/CLASSUSEWITH&gt;&lt;/CLASSSTRUCTURE&gt;</v>
      </c>
    </row>
    <row r="4" spans="1:5" ht="15.75" x14ac:dyDescent="0.25">
      <c r="A4" s="2">
        <v>10002000002</v>
      </c>
      <c r="B4" s="6" t="s">
        <v>7</v>
      </c>
      <c r="C4" s="2">
        <f t="shared" ref="C4:C11" si="1">$A$2</f>
        <v>10002000000</v>
      </c>
      <c r="D4" s="2" t="str">
        <f t="shared" ref="D4:D11" si="2">"INSPEC_TYPE_"&amp;RIGHT(A4,1)</f>
        <v>INSPEC_TYPE_2</v>
      </c>
      <c r="E4" t="str">
        <f t="shared" si="0"/>
        <v>&lt;CLASSSTRUCTURE&gt;&lt;CLASSSTRUCTUREID&gt;010002000002&lt;/CLASSSTRUCTUREID&gt;&lt;DESCRIPTION&gt;&lt;![CDATA[Осмотры при сопровождении путеизмерительных и дефектоскопных средств, а также проездом в локомотиве, хвостовом вагоне или дрезине]]&gt;&lt;/DESCRIPTION&gt;&lt;PARENT&gt;010002000000&lt;/PARENT&gt;&lt;CLASSIFICATIONID&gt;INSPEC_TYPE_2&lt;/CLASSIFICATIONID&gt;&lt;CLASSUSEWITH&gt;&lt;DESCRIPTION&gt;Применять с точками километра&lt;/DESCRIPTION&gt;&lt;OBJECTNAME&gt;INSPEC_POINT&lt;/OBJECTNAME&gt;&lt;OBJECTVALUE&gt;INSPEC_POINT&lt;/OBJECTVALUE&gt;&lt;TOPLEVEL&gt;0&lt;/TOPLEVEL&gt;&lt;/CLASSUSEWITH&gt;&lt;CLASSUSEWITH&gt;&lt;DESCRIPTION&gt;Применять с рабочими заданиями&lt;/DESCRIPTION&gt;&lt;OBJECTNAME&gt;WORKORDER&lt;/OBJECTNAME&gt;&lt;OBJECTVALUE&gt;РАБОЧЕЕЗАДАНИЕ&lt;/OBJECTVALUE&gt;&lt;TOPLEVEL&gt;0&lt;/TOPLEVEL&gt;&lt;/CLASSUSEWITH&gt;&lt;/CLASSSTRUCTURE&gt;</v>
      </c>
    </row>
    <row r="5" spans="1:5" x14ac:dyDescent="0.25">
      <c r="A5" s="2">
        <v>10002000003</v>
      </c>
      <c r="B5" s="5" t="s">
        <v>8</v>
      </c>
      <c r="C5" s="2">
        <f t="shared" si="1"/>
        <v>10002000000</v>
      </c>
      <c r="D5" s="2" t="str">
        <f t="shared" si="2"/>
        <v>INSPEC_TYPE_3</v>
      </c>
      <c r="E5" t="str">
        <f t="shared" si="0"/>
        <v>&lt;CLASSSTRUCTURE&gt;&lt;CLASSSTRUCTUREID&gt;010002000003&lt;/CLASSSTRUCTUREID&gt;&lt;DESCRIPTION&gt;&lt;![CDATA[Текущие]]&gt;&lt;/DESCRIPTION&gt;&lt;PARENT&gt;010002000000&lt;/PARENT&gt;&lt;CLASSIFICATIONID&gt;INSPEC_TYPE_3&lt;/CLASSIFICATIONID&gt;&lt;CLASSUSEWITH&gt;&lt;DESCRIPTION&gt;Применять с точками километра&lt;/DESCRIPTION&gt;&lt;OBJECTNAME&gt;INSPEC_POINT&lt;/OBJECTNAME&gt;&lt;OBJECTVALUE&gt;INSPEC_POINT&lt;/OBJECTVALUE&gt;&lt;TOPLEVEL&gt;0&lt;/TOPLEVEL&gt;&lt;/CLASSUSEWITH&gt;&lt;CLASSUSEWITH&gt;&lt;DESCRIPTION&gt;Применять с рабочими заданиями&lt;/DESCRIPTION&gt;&lt;OBJECTNAME&gt;WORKORDER&lt;/OBJECTNAME&gt;&lt;OBJECTVALUE&gt;РАБОЧЕЕЗАДАНИЕ&lt;/OBJECTVALUE&gt;&lt;TOPLEVEL&gt;0&lt;/TOPLEVEL&gt;&lt;/CLASSUSEWITH&gt;&lt;/CLASSSTRUCTURE&gt;</v>
      </c>
    </row>
    <row r="6" spans="1:5" x14ac:dyDescent="0.25">
      <c r="A6" s="2">
        <v>10002000004</v>
      </c>
      <c r="B6" s="5" t="s">
        <v>9</v>
      </c>
      <c r="C6" s="2">
        <f t="shared" si="1"/>
        <v>10002000000</v>
      </c>
      <c r="D6" s="2" t="str">
        <f t="shared" si="2"/>
        <v>INSPEC_TYPE_4</v>
      </c>
      <c r="E6" t="str">
        <f t="shared" si="0"/>
        <v>&lt;CLASSSTRUCTURE&gt;&lt;CLASSSTRUCTUREID&gt;010002000004&lt;/CLASSSTRUCTUREID&gt;&lt;DESCRIPTION&gt;&lt;![CDATA[Комиссионные]]&gt;&lt;/DESCRIPTION&gt;&lt;PARENT&gt;010002000000&lt;/PARENT&gt;&lt;CLASSIFICATIONID&gt;INSPEC_TYPE_4&lt;/CLASSIFICATIONID&gt;&lt;CLASSUSEWITH&gt;&lt;DESCRIPTION&gt;Применять с точками километра&lt;/DESCRIPTION&gt;&lt;OBJECTNAME&gt;INSPEC_POINT&lt;/OBJECTNAME&gt;&lt;OBJECTVALUE&gt;INSPEC_POINT&lt;/OBJECTVALUE&gt;&lt;TOPLEVEL&gt;0&lt;/TOPLEVEL&gt;&lt;/CLASSUSEWITH&gt;&lt;CLASSUSEWITH&gt;&lt;DESCRIPTION&gt;Применять с рабочими заданиями&lt;/DESCRIPTION&gt;&lt;OBJECTNAME&gt;WORKORDER&lt;/OBJECTNAME&gt;&lt;OBJECTVALUE&gt;РАБОЧЕЕЗАДАНИЕ&lt;/OBJECTVALUE&gt;&lt;TOPLEVEL&gt;0&lt;/TOPLEVEL&gt;&lt;/CLASSUSEWITH&gt;&lt;/CLASSSTRUCTURE&gt;</v>
      </c>
    </row>
    <row r="7" spans="1:5" x14ac:dyDescent="0.25">
      <c r="A7" s="2">
        <v>10002000005</v>
      </c>
      <c r="B7" s="5" t="s">
        <v>10</v>
      </c>
      <c r="C7" s="2">
        <f t="shared" si="1"/>
        <v>10002000000</v>
      </c>
      <c r="D7" s="2" t="str">
        <f t="shared" si="2"/>
        <v>INSPEC_TYPE_5</v>
      </c>
      <c r="E7" t="str">
        <f t="shared" si="0"/>
        <v>&lt;CLASSSTRUCTURE&gt;&lt;CLASSSTRUCTUREID&gt;010002000005&lt;/CLASSSTRUCTUREID&gt;&lt;DESCRIPTION&gt;&lt;![CDATA[Совместно- комиссионные]]&gt;&lt;/DESCRIPTION&gt;&lt;PARENT&gt;010002000000&lt;/PARENT&gt;&lt;CLASSIFICATIONID&gt;INSPEC_TYPE_5&lt;/CLASSIFICATIONID&gt;&lt;CLASSUSEWITH&gt;&lt;DESCRIPTION&gt;Применять с точками километра&lt;/DESCRIPTION&gt;&lt;OBJECTNAME&gt;INSPEC_POINT&lt;/OBJECTNAME&gt;&lt;OBJECTVALUE&gt;INSPEC_POINT&lt;/OBJECTVALUE&gt;&lt;TOPLEVEL&gt;0&lt;/TOPLEVEL&gt;&lt;/CLASSUSEWITH&gt;&lt;CLASSUSEWITH&gt;&lt;DESCRIPTION&gt;Применять с рабочими заданиями&lt;/DESCRIPTION&gt;&lt;OBJECTNAME&gt;WORKORDER&lt;/OBJECTNAME&gt;&lt;OBJECTVALUE&gt;РАБОЧЕЕЗАДАНИЕ&lt;/OBJECTVALUE&gt;&lt;TOPLEVEL&gt;0&lt;/TOPLEVEL&gt;&lt;/CLASSUSEWITH&gt;&lt;/CLASSSTRUCTURE&gt;</v>
      </c>
    </row>
    <row r="8" spans="1:5" x14ac:dyDescent="0.25">
      <c r="A8" s="2">
        <v>10002000006</v>
      </c>
      <c r="B8" s="5" t="s">
        <v>11</v>
      </c>
      <c r="C8" s="2">
        <f t="shared" si="1"/>
        <v>10002000000</v>
      </c>
      <c r="D8" s="2" t="str">
        <f t="shared" si="2"/>
        <v>INSPEC_TYPE_6</v>
      </c>
      <c r="E8" t="str">
        <f t="shared" si="0"/>
        <v>&lt;CLASSSTRUCTURE&gt;&lt;CLASSSTRUCTUREID&gt;010002000006&lt;/CLASSSTRUCTUREID&gt;&lt;DESCRIPTION&gt;&lt;![CDATA[Постоянные]]&gt;&lt;/DESCRIPTION&gt;&lt;PARENT&gt;010002000000&lt;/PARENT&gt;&lt;CLASSIFICATIONID&gt;INSPEC_TYPE_6&lt;/CLASSIFICATIONID&gt;&lt;CLASSUSEWITH&gt;&lt;DESCRIPTION&gt;Применять с точками километра&lt;/DESCRIPTION&gt;&lt;OBJECTNAME&gt;INSPEC_POINT&lt;/OBJECTNAME&gt;&lt;OBJECTVALUE&gt;INSPEC_POINT&lt;/OBJECTVALUE&gt;&lt;TOPLEVEL&gt;0&lt;/TOPLEVEL&gt;&lt;/CLASSUSEWITH&gt;&lt;CLASSUSEWITH&gt;&lt;DESCRIPTION&gt;Применять с рабочими заданиями&lt;/DESCRIPTION&gt;&lt;OBJECTNAME&gt;WORKORDER&lt;/OBJECTNAME&gt;&lt;OBJECTVALUE&gt;РАБОЧЕЕЗАДАНИЕ&lt;/OBJECTVALUE&gt;&lt;TOPLEVEL&gt;0&lt;/TOPLEVEL&gt;&lt;/CLASSUSEWITH&gt;&lt;/CLASSSTRUCTURE&gt;</v>
      </c>
    </row>
    <row r="9" spans="1:5" x14ac:dyDescent="0.25">
      <c r="A9" s="2">
        <v>10002000007</v>
      </c>
      <c r="B9" s="5" t="s">
        <v>12</v>
      </c>
      <c r="C9" s="2">
        <f t="shared" si="1"/>
        <v>10002000000</v>
      </c>
      <c r="D9" s="2" t="str">
        <f t="shared" si="2"/>
        <v>INSPEC_TYPE_7</v>
      </c>
      <c r="E9" t="str">
        <f t="shared" si="0"/>
        <v>&lt;CLASSSTRUCTURE&gt;&lt;CLASSSTRUCTUREID&gt;010002000007&lt;/CLASSSTRUCTUREID&gt;&lt;DESCRIPTION&gt;&lt;![CDATA[Периодические]]&gt;&lt;/DESCRIPTION&gt;&lt;PARENT&gt;010002000000&lt;/PARENT&gt;&lt;CLASSIFICATIONID&gt;INSPEC_TYPE_7&lt;/CLASSIFICATIONID&gt;&lt;CLASSUSEWITH&gt;&lt;DESCRIPTION&gt;Применять с точками километра&lt;/DESCRIPTION&gt;&lt;OBJECTNAME&gt;INSPEC_POINT&lt;/OBJECTNAME&gt;&lt;OBJECTVALUE&gt;INSPEC_POINT&lt;/OBJECTVALUE&gt;&lt;TOPLEVEL&gt;0&lt;/TOPLEVEL&gt;&lt;/CLASSUSEWITH&gt;&lt;CLASSUSEWITH&gt;&lt;DESCRIPTION&gt;Применять с рабочими заданиями&lt;/DESCRIPTION&gt;&lt;OBJECTNAME&gt;WORKORDER&lt;/OBJECTNAME&gt;&lt;OBJECTVALUE&gt;РАБОЧЕЕЗАДАНИЕ&lt;/OBJECTVALUE&gt;&lt;TOPLEVEL&gt;0&lt;/TOPLEVEL&gt;&lt;/CLASSUSEWITH&gt;&lt;/CLASSSTRUCTURE&gt;</v>
      </c>
    </row>
    <row r="10" spans="1:5" x14ac:dyDescent="0.25">
      <c r="A10" s="2">
        <v>10002000008</v>
      </c>
      <c r="B10" s="5" t="s">
        <v>13</v>
      </c>
      <c r="C10" s="2">
        <f t="shared" si="1"/>
        <v>10002000000</v>
      </c>
      <c r="D10" s="2" t="str">
        <f t="shared" si="2"/>
        <v>INSPEC_TYPE_8</v>
      </c>
      <c r="E10" t="str">
        <f t="shared" si="0"/>
        <v>&lt;CLASSSTRUCTURE&gt;&lt;CLASSSTRUCTUREID&gt;010002000008&lt;/CLASSSTRUCTUREID&gt;&lt;DESCRIPTION&gt;&lt;![CDATA[Дополнительные (внеочередные)]]&gt;&lt;/DESCRIPTION&gt;&lt;PARENT&gt;010002000000&lt;/PARENT&gt;&lt;CLASSIFICATIONID&gt;INSPEC_TYPE_8&lt;/CLASSIFICATIONID&gt;&lt;CLASSUSEWITH&gt;&lt;DESCRIPTION&gt;Применять с точками километра&lt;/DESCRIPTION&gt;&lt;OBJECTNAME&gt;INSPEC_POINT&lt;/OBJECTNAME&gt;&lt;OBJECTVALUE&gt;INSPEC_POINT&lt;/OBJECTVALUE&gt;&lt;TOPLEVEL&gt;0&lt;/TOPLEVEL&gt;&lt;/CLASSUSEWITH&gt;&lt;CLASSUSEWITH&gt;&lt;DESCRIPTION&gt;Применять с рабочими заданиями&lt;/DESCRIPTION&gt;&lt;OBJECTNAME&gt;WORKORDER&lt;/OBJECTNAME&gt;&lt;OBJECTVALUE&gt;РАБОЧЕЕЗАДАНИЕ&lt;/OBJECTVALUE&gt;&lt;TOPLEVEL&gt;0&lt;/TOPLEVEL&gt;&lt;/CLASSUSEWITH&gt;&lt;/CLASSSTRUCTURE&gt;</v>
      </c>
    </row>
    <row r="11" spans="1:5" x14ac:dyDescent="0.25">
      <c r="A11" s="2">
        <v>10002000009</v>
      </c>
      <c r="B11" s="5" t="s">
        <v>14</v>
      </c>
      <c r="C11" s="2">
        <f t="shared" si="1"/>
        <v>10002000000</v>
      </c>
      <c r="D11" s="2" t="str">
        <f t="shared" si="2"/>
        <v>INSPEC_TYPE_9</v>
      </c>
      <c r="E11" t="str">
        <f t="shared" si="0"/>
        <v>&lt;CLASSSTRUCTURE&gt;&lt;CLASSSTRUCTUREID&gt;010002000009&lt;/CLASSSTRUCTUREID&gt;&lt;DESCRIPTION&gt;&lt;![CDATA[Специальные]]&gt;&lt;/DESCRIPTION&gt;&lt;PARENT&gt;010002000000&lt;/PARENT&gt;&lt;CLASSIFICATIONID&gt;INSPEC_TYPE_9&lt;/CLASSIFICATIONID&gt;&lt;CLASSUSEWITH&gt;&lt;DESCRIPTION&gt;Применять с точками километра&lt;/DESCRIPTION&gt;&lt;OBJECTNAME&gt;INSPEC_POINT&lt;/OBJECTNAME&gt;&lt;OBJECTVALUE&gt;INSPEC_POINT&lt;/OBJECTVALUE&gt;&lt;TOPLEVEL&gt;0&lt;/TOPLEVEL&gt;&lt;/CLASSUSEWITH&gt;&lt;CLASSUSEWITH&gt;&lt;DESCRIPTION&gt;Применять с рабочими заданиями&lt;/DESCRIPTION&gt;&lt;OBJECTNAME&gt;WORKORDER&lt;/OBJECTNAME&gt;&lt;OBJECTVALUE&gt;РАБОЧЕЕЗАДАНИЕ&lt;/OBJECTVALUE&gt;&lt;TOPLEVEL&gt;0&lt;/TOPLEVEL&gt;&lt;/CLASSUSEWITH&gt;&lt;/CLASSSTRUCTURE&gt;</v>
      </c>
    </row>
    <row r="12" spans="1:5" x14ac:dyDescent="0.25">
      <c r="A12" s="2">
        <v>10002000050</v>
      </c>
      <c r="B12" s="5" t="s">
        <v>15</v>
      </c>
      <c r="C12" s="2">
        <f>$A$6</f>
        <v>10002000004</v>
      </c>
      <c r="D12" s="2" t="str">
        <f>"INSPEC_COMM_"&amp;RIGHT(A12,2)</f>
        <v>INSPEC_COMM_50</v>
      </c>
      <c r="E12" t="str">
        <f t="shared" si="0"/>
        <v>&lt;CLASSSTRUCTURE&gt;&lt;CLASSSTRUCTUREID&gt;010002000050&lt;/CLASSSTRUCTUREID&gt;&lt;DESCRIPTION&gt;&lt;![CDATA[Генеральный весенний осмотр (проводится начальником дороги)]]&gt;&lt;/DESCRIPTION&gt;&lt;PARENT&gt;010002000004&lt;/PARENT&gt;&lt;CLASSIFICATIONID&gt;INSPEC_COMM_50&lt;/CLASSIFICATIONID&gt;&lt;CLASSUSEWITH&gt;&lt;DESCRIPTION&gt;Применять с точками километра&lt;/DESCRIPTION&gt;&lt;OBJECTNAME&gt;INSPEC_POINT&lt;/OBJECTNAME&gt;&lt;OBJECTVALUE&gt;INSPEC_POINT&lt;/OBJECTVALUE&gt;&lt;TOPLEVEL&gt;0&lt;/TOPLEVEL&gt;&lt;/CLASSUSEWITH&gt;&lt;CLASSUSEWITH&gt;&lt;DESCRIPTION&gt;Применять с рабочими заданиями&lt;/DESCRIPTION&gt;&lt;OBJECTNAME&gt;WORKORDER&lt;/OBJECTNAME&gt;&lt;OBJECTVALUE&gt;РАБОЧЕЕЗАДАНИЕ&lt;/OBJECTVALUE&gt;&lt;TOPLEVEL&gt;0&lt;/TOPLEVEL&gt;&lt;/CLASSUSEWITH&gt;&lt;/CLASSSTRUCTURE&gt;</v>
      </c>
    </row>
    <row r="13" spans="1:5" x14ac:dyDescent="0.25">
      <c r="A13" s="2">
        <v>10002000051</v>
      </c>
      <c r="B13" s="5" t="s">
        <v>16</v>
      </c>
      <c r="C13" s="2">
        <f t="shared" ref="C13:C18" si="3">$A$6</f>
        <v>10002000004</v>
      </c>
      <c r="D13" s="2" t="str">
        <f t="shared" ref="D13:D18" si="4">"INSPEC_COMM_"&amp;RIGHT(A13,2)</f>
        <v>INSPEC_COMM_51</v>
      </c>
      <c r="E13" t="str">
        <f t="shared" si="0"/>
        <v>&lt;CLASSSTRUCTURE&gt;&lt;CLASSSTRUCTUREID&gt;010002000051&lt;/CLASSSTRUCTUREID&gt;&lt;DESCRIPTION&gt;&lt;![CDATA[Генеральный осенний осмотр (проводится начальником дороги)]]&gt;&lt;/DESCRIPTION&gt;&lt;PARENT&gt;010002000004&lt;/PARENT&gt;&lt;CLASSIFICATIONID&gt;INSPEC_COMM_51&lt;/CLASSIFICATIONID&gt;&lt;CLASSUSEWITH&gt;&lt;DESCRIPTION&gt;Применять с точками километра&lt;/DESCRIPTION&gt;&lt;OBJECTNAME&gt;INSPEC_POINT&lt;/OBJECTNAME&gt;&lt;OBJECTVALUE&gt;INSPEC_POINT&lt;/OBJECTVALUE&gt;&lt;TOPLEVEL&gt;0&lt;/TOPLEVEL&gt;&lt;/CLASSUSEWITH&gt;&lt;CLASSUSEWITH&gt;&lt;DESCRIPTION&gt;Применять с рабочими заданиями&lt;/DESCRIPTION&gt;&lt;OBJECTNAME&gt;WORKORDER&lt;/OBJECTNAME&gt;&lt;OBJECTVALUE&gt;РАБОЧЕЕЗАДАНИЕ&lt;/OBJECTVALUE&gt;&lt;TOPLEVEL&gt;0&lt;/TOPLEVEL&gt;&lt;/CLASSUSEWITH&gt;&lt;/CLASSSTRUCTURE&gt;</v>
      </c>
    </row>
    <row r="14" spans="1:5" x14ac:dyDescent="0.25">
      <c r="A14" s="2">
        <v>10002000052</v>
      </c>
      <c r="B14" s="5" t="s">
        <v>33</v>
      </c>
      <c r="C14" s="2">
        <f t="shared" si="3"/>
        <v>10002000004</v>
      </c>
      <c r="D14" s="2" t="str">
        <f t="shared" si="4"/>
        <v>INSPEC_COMM_52</v>
      </c>
      <c r="E14" t="str">
        <f t="shared" si="0"/>
        <v>&lt;CLASSSTRUCTURE&gt;&lt;CLASSSTRUCTUREID&gt;010002000052&lt;/CLASSSTRUCTUREID&gt;&lt;DESCRIPTION&gt;&lt;![CDATA[Генеральный осмотр (проводится начальником дистанции)]]&gt;&lt;/DESCRIPTION&gt;&lt;PARENT&gt;010002000004&lt;/PARENT&gt;&lt;CLASSIFICATIONID&gt;INSPEC_COMM_52&lt;/CLASSIFICATIONID&gt;&lt;CLASSUSEWITH&gt;&lt;DESCRIPTION&gt;Применять с точками километра&lt;/DESCRIPTION&gt;&lt;OBJECTNAME&gt;INSPEC_POINT&lt;/OBJECTNAME&gt;&lt;OBJECTVALUE&gt;INSPEC_POINT&lt;/OBJECTVALUE&gt;&lt;TOPLEVEL&gt;0&lt;/TOPLEVEL&gt;&lt;/CLASSUSEWITH&gt;&lt;CLASSUSEWITH&gt;&lt;DESCRIPTION&gt;Применять с рабочими заданиями&lt;/DESCRIPTION&gt;&lt;OBJECTNAME&gt;WORKORDER&lt;/OBJECTNAME&gt;&lt;OBJECTVALUE&gt;РАБОЧЕЕЗАДАНИЕ&lt;/OBJECTVALUE&gt;&lt;TOPLEVEL&gt;0&lt;/TOPLEVEL&gt;&lt;/CLASSUSEWITH&gt;&lt;/CLASSSTRUCTURE&gt;</v>
      </c>
    </row>
    <row r="15" spans="1:5" x14ac:dyDescent="0.25">
      <c r="A15" s="2">
        <v>10002000054</v>
      </c>
      <c r="B15" s="5" t="s">
        <v>17</v>
      </c>
      <c r="C15" s="2">
        <f t="shared" si="3"/>
        <v>10002000004</v>
      </c>
      <c r="D15" s="2" t="str">
        <f t="shared" si="4"/>
        <v>INSPEC_COMM_54</v>
      </c>
      <c r="E15" t="str">
        <f t="shared" si="0"/>
        <v>&lt;CLASSSTRUCTURE&gt;&lt;CLASSSTRUCTUREID&gt;010002000054&lt;/CLASSSTRUCTUREID&gt;&lt;DESCRIPTION&gt;&lt;![CDATA[Зимний (внеочередной)]]&gt;&lt;/DESCRIPTION&gt;&lt;PARENT&gt;010002000004&lt;/PARENT&gt;&lt;CLASSIFICATIONID&gt;INSPEC_COMM_54&lt;/CLASSIFICATIONID&gt;&lt;CLASSUSEWITH&gt;&lt;DESCRIPTION&gt;Применять с точками километра&lt;/DESCRIPTION&gt;&lt;OBJECTNAME&gt;INSPEC_POINT&lt;/OBJECTNAME&gt;&lt;OBJECTVALUE&gt;INSPEC_POINT&lt;/OBJECTVALUE&gt;&lt;TOPLEVEL&gt;0&lt;/TOPLEVEL&gt;&lt;/CLASSUSEWITH&gt;&lt;CLASSUSEWITH&gt;&lt;DESCRIPTION&gt;Применять с рабочими заданиями&lt;/DESCRIPTION&gt;&lt;OBJECTNAME&gt;WORKORDER&lt;/OBJECTNAME&gt;&lt;OBJECTVALUE&gt;РАБОЧЕЕЗАДАНИЕ&lt;/OBJECTVALUE&gt;&lt;TOPLEVEL&gt;0&lt;/TOPLEVEL&gt;&lt;/CLASSUSEWITH&gt;&lt;/CLASSSTRUCTURE&gt;</v>
      </c>
    </row>
    <row r="16" spans="1:5" x14ac:dyDescent="0.25">
      <c r="A16" s="2">
        <v>10002000055</v>
      </c>
      <c r="B16" s="5" t="s">
        <v>18</v>
      </c>
      <c r="C16" s="2">
        <f t="shared" si="3"/>
        <v>10002000004</v>
      </c>
      <c r="D16" s="2" t="str">
        <f t="shared" si="4"/>
        <v>INSPEC_COMM_55</v>
      </c>
      <c r="E16" t="str">
        <f t="shared" si="0"/>
        <v>&lt;CLASSSTRUCTURE&gt;&lt;CLASSSTRUCTUREID&gt;010002000055&lt;/CLASSSTRUCTUREID&gt;&lt;DESCRIPTION&gt;&lt;![CDATA[Основной Месячный осмотр]]&gt;&lt;/DESCRIPTION&gt;&lt;PARENT&gt;010002000004&lt;/PARENT&gt;&lt;CLASSIFICATIONID&gt;INSPEC_COMM_55&lt;/CLASSIFICATIONID&gt;&lt;CLASSUSEWITH&gt;&lt;DESCRIPTION&gt;Применять с точками километра&lt;/DESCRIPTION&gt;&lt;OBJECTNAME&gt;INSPEC_POINT&lt;/OBJECTNAME&gt;&lt;OBJECTVALUE&gt;INSPEC_POINT&lt;/OBJECTVALUE&gt;&lt;TOPLEVEL&gt;0&lt;/TOPLEVEL&gt;&lt;/CLASSUSEWITH&gt;&lt;CLASSUSEWITH&gt;&lt;DESCRIPTION&gt;Применять с рабочими заданиями&lt;/DESCRIPTION&gt;&lt;OBJECTNAME&gt;WORKORDER&lt;/OBJECTNAME&gt;&lt;OBJECTVALUE&gt;РАБОЧЕЕЗАДАНИЕ&lt;/OBJECTVALUE&gt;&lt;TOPLEVEL&gt;0&lt;/TOPLEVEL&gt;&lt;/CLASSUSEWITH&gt;&lt;/CLASSSTRUCTURE&gt;</v>
      </c>
    </row>
    <row r="17" spans="1:5" x14ac:dyDescent="0.25">
      <c r="A17" s="2">
        <v>10002000056</v>
      </c>
      <c r="B17" s="5" t="s">
        <v>19</v>
      </c>
      <c r="C17" s="2">
        <f t="shared" si="3"/>
        <v>10002000004</v>
      </c>
      <c r="D17" s="2" t="str">
        <f t="shared" si="4"/>
        <v>INSPEC_COMM_56</v>
      </c>
      <c r="E17" t="str">
        <f t="shared" si="0"/>
        <v>&lt;CLASSSTRUCTURE&gt;&lt;CLASSSTRUCTUREID&gt;010002000056&lt;/CLASSSTRUCTUREID&gt;&lt;DESCRIPTION&gt;&lt;![CDATA[Дополнительный месячный осмотр (на участках со скоростным и высокоскоростным движением)]]&gt;&lt;/DESCRIPTION&gt;&lt;PARENT&gt;010002000004&lt;/PARENT&gt;&lt;CLASSIFICATIONID&gt;INSPEC_COMM_56&lt;/CLASSIFICATIONID&gt;&lt;CLASSUSEWITH&gt;&lt;DESCRIPTION&gt;Применять с точками километра&lt;/DESCRIPTION&gt;&lt;OBJECTNAME&gt;INSPEC_POINT&lt;/OBJECTNAME&gt;&lt;OBJECTVALUE&gt;INSPEC_POINT&lt;/OBJECTVALUE&gt;&lt;TOPLEVEL&gt;0&lt;/TOPLEVEL&gt;&lt;/CLASSUSEWITH&gt;&lt;CLASSUSEWITH&gt;&lt;DESCRIPTION&gt;Применять с рабочими заданиями&lt;/DESCRIPTION&gt;&lt;OBJECTNAME&gt;WORKORDER&lt;/OBJECTNAME&gt;&lt;OBJECTVALUE&gt;РАБОЧЕЕЗАДАНИЕ&lt;/OBJECTVALUE&gt;&lt;TOPLEVEL&gt;0&lt;/TOPLEVEL&gt;&lt;/CLASSUSEWITH&gt;&lt;/CLASSSTRUCTURE&gt;</v>
      </c>
    </row>
    <row r="18" spans="1:5" x14ac:dyDescent="0.25">
      <c r="A18" s="2">
        <v>10002000057</v>
      </c>
      <c r="B18" s="5" t="s">
        <v>20</v>
      </c>
      <c r="C18" s="2">
        <f t="shared" si="3"/>
        <v>10002000004</v>
      </c>
      <c r="D18" s="2" t="str">
        <f t="shared" si="4"/>
        <v>INSPEC_COMM_57</v>
      </c>
      <c r="E18" t="str">
        <f t="shared" si="0"/>
        <v>&lt;CLASSSTRUCTURE&gt;&lt;CLASSSTRUCTUREID&gt;010002000057&lt;/CLASSSTRUCTUREID&gt;&lt;DESCRIPTION&gt;&lt;![CDATA[Квартальный]]&gt;&lt;/DESCRIPTION&gt;&lt;PARENT&gt;010002000004&lt;/PARENT&gt;&lt;CLASSIFICATIONID&gt;INSPEC_COMM_57&lt;/CLASSIFICATIONID&gt;&lt;CLASSUSEWITH&gt;&lt;DESCRIPTION&gt;Применять с точками километра&lt;/DESCRIPTION&gt;&lt;OBJECTNAME&gt;INSPEC_POINT&lt;/OBJECTNAME&gt;&lt;OBJECTVALUE&gt;INSPEC_POINT&lt;/OBJECTVALUE&gt;&lt;TOPLEVEL&gt;0&lt;/TOPLEVEL&gt;&lt;/CLASSUSEWITH&gt;&lt;CLASSUSEWITH&gt;&lt;DESCRIPTION&gt;Применять с рабочими заданиями&lt;/DESCRIPTION&gt;&lt;OBJECTNAME&gt;WORKORDER&lt;/OBJECTNAME&gt;&lt;OBJECTVALUE&gt;РАБОЧЕЕЗАДАНИЕ&lt;/OBJECTVALUE&gt;&lt;TOPLEVEL&gt;0&lt;/TOPLEVEL&gt;&lt;/CLASSUSEWITH&gt;&lt;/CLASSSTRUCTURE&gt;</v>
      </c>
    </row>
    <row r="19" spans="1:5" x14ac:dyDescent="0.25">
      <c r="A19" s="2">
        <v>10002000100</v>
      </c>
      <c r="B19" s="5" t="s">
        <v>21</v>
      </c>
      <c r="C19" s="2">
        <f>$A$14</f>
        <v>10002000052</v>
      </c>
      <c r="D19" s="2" t="str">
        <f>"INSPEC_GO_SPRING_"&amp;RIGHT(A19,3)</f>
        <v>INSPEC_GO_SPRING_100</v>
      </c>
      <c r="E19" t="str">
        <f t="shared" si="0"/>
        <v>&lt;CLASSSTRUCTURE&gt;&lt;CLASSSTRUCTUREID&gt;010002000100&lt;/CLASSSTRUCTUREID&gt;&lt;DESCRIPTION&gt;&lt;![CDATA[Весенний осмотр]]&gt;&lt;/DESCRIPTION&gt;&lt;PARENT&gt;010002000052&lt;/PARENT&gt;&lt;CLASSIFICATIONID&gt;INSPEC_GO_SPRING_100&lt;/CLASSIFICATIONID&gt;&lt;CLASSUSEWITH&gt;&lt;DESCRIPTION&gt;Применять с точками километра&lt;/DESCRIPTION&gt;&lt;OBJECTNAME&gt;INSPEC_POINT&lt;/OBJECTNAME&gt;&lt;OBJECTVALUE&gt;INSPEC_POINT&lt;/OBJECTVALUE&gt;&lt;TOPLEVEL&gt;0&lt;/TOPLEVEL&gt;&lt;/CLASSUSEWITH&gt;&lt;CLASSUSEWITH&gt;&lt;DESCRIPTION&gt;Применять с рабочими заданиями&lt;/DESCRIPTION&gt;&lt;OBJECTNAME&gt;WORKORDER&lt;/OBJECTNAME&gt;&lt;OBJECTVALUE&gt;РАБОЧЕЕЗАДАНИЕ&lt;/OBJECTVALUE&gt;&lt;TOPLEVEL&gt;0&lt;/TOPLEVEL&gt;&lt;/CLASSUSEWITH&gt;&lt;/CLASSSTRUCTURE&gt;</v>
      </c>
    </row>
    <row r="20" spans="1:5" x14ac:dyDescent="0.25">
      <c r="A20" s="2">
        <v>10002000101</v>
      </c>
      <c r="B20" s="5" t="s">
        <v>22</v>
      </c>
      <c r="C20" s="2">
        <f>$A$14</f>
        <v>10002000052</v>
      </c>
      <c r="D20" s="2" t="str">
        <f>"INSPEC_GO_AUTUM_"&amp;RIGHT(A20,3)</f>
        <v>INSPEC_GO_AUTUM_101</v>
      </c>
      <c r="E20" t="str">
        <f t="shared" si="0"/>
        <v>&lt;CLASSSTRUCTURE&gt;&lt;CLASSSTRUCTUREID&gt;010002000101&lt;/CLASSSTRUCTUREID&gt;&lt;DESCRIPTION&gt;&lt;![CDATA[Осенний осмотр]]&gt;&lt;/DESCRIPTION&gt;&lt;PARENT&gt;010002000052&lt;/PARENT&gt;&lt;CLASSIFICATIONID&gt;INSPEC_GO_AUTUM_101&lt;/CLASSIFICATIONID&gt;&lt;CLASSUSEWITH&gt;&lt;DESCRIPTION&gt;Применять с точками километра&lt;/DESCRIPTION&gt;&lt;OBJECTNAME&gt;INSPEC_POINT&lt;/OBJECTNAME&gt;&lt;OBJECTVALUE&gt;INSPEC_POINT&lt;/OBJECTVALUE&gt;&lt;TOPLEVEL&gt;0&lt;/TOPLEVEL&gt;&lt;/CLASSUSEWITH&gt;&lt;CLASSUSEWITH&gt;&lt;DESCRIPTION&gt;Применять с рабочими заданиями&lt;/DESCRIPTION&gt;&lt;OBJECTNAME&gt;WORKORDER&lt;/OBJECTNAME&gt;&lt;OBJECTVALUE&gt;РАБОЧЕЕЗАДАНИЕ&lt;/OBJECTVALUE&gt;&lt;TOPLEVEL&gt;0&lt;/TOPLEVEL&gt;&lt;/CLASSUSEWITH&gt;&lt;/CLASSSTRUCTURE&gt;</v>
      </c>
    </row>
    <row r="21" spans="1:5" x14ac:dyDescent="0.25">
      <c r="A21" s="2">
        <v>10002000102</v>
      </c>
      <c r="B21" s="7" t="s">
        <v>23</v>
      </c>
      <c r="C21" s="2">
        <f>$A$14</f>
        <v>10002000052</v>
      </c>
      <c r="D21" s="2" t="str">
        <f>"INSPEC_GO_SURVEY_"&amp;RIGHT(A21,3)</f>
        <v>INSPEC_GO_SURVEY_102</v>
      </c>
      <c r="E21" t="str">
        <f t="shared" si="0"/>
        <v>&lt;CLASSSTRUCTURE&gt;&lt;CLASSSTRUCTUREID&gt;010002000102&lt;/CLASSSTRUCTUREID&gt;&lt;DESCRIPTION&gt;&lt;![CDATA[Промеры]]&gt;&lt;/DESCRIPTION&gt;&lt;PARENT&gt;010002000052&lt;/PARENT&gt;&lt;CLASSIFICATIONID&gt;INSPEC_GO_SURVEY_102&lt;/CLASSIFICATIONID&gt;&lt;CLASSUSEWITH&gt;&lt;DESCRIPTION&gt;Применять с точками километра&lt;/DESCRIPTION&gt;&lt;OBJECTNAME&gt;INSPEC_POINT&lt;/OBJECTNAME&gt;&lt;OBJECTVALUE&gt;INSPEC_POINT&lt;/OBJECTVALUE&gt;&lt;TOPLEVEL&gt;0&lt;/TOPLEVEL&gt;&lt;/CLASSUSEWITH&gt;&lt;CLASSUSEWITH&gt;&lt;DESCRIPTION&gt;Применять с рабочими заданиями&lt;/DESCRIPTION&gt;&lt;OBJECTNAME&gt;WORKORDER&lt;/OBJECTNAME&gt;&lt;OBJECTVALUE&gt;РАБОЧЕЕЗАДАНИЕ&lt;/OBJECTVALUE&gt;&lt;TOPLEVEL&gt;0&lt;/TOPLEVEL&gt;&lt;/CLASSUSEWITH&gt;&lt;/CLASSSTRUCTURE&gt;</v>
      </c>
    </row>
    <row r="22" spans="1:5" x14ac:dyDescent="0.25">
      <c r="A22" s="2">
        <v>10002000103</v>
      </c>
      <c r="B22" s="7" t="s">
        <v>24</v>
      </c>
      <c r="C22" s="2">
        <v>10002000102</v>
      </c>
      <c r="D22" s="2" t="str">
        <f t="shared" ref="D22:D30" si="5">"INSPEC_GO_SURVEY_"&amp;RIGHT(A22,3)</f>
        <v>INSPEC_GO_SURVEY_103</v>
      </c>
      <c r="E22" t="str">
        <f t="shared" si="0"/>
        <v>&lt;CLASSSTRUCTURE&gt;&lt;CLASSSTRUCTUREID&gt;010002000103&lt;/CLASSSTRUCTUREID&gt;&lt;DESCRIPTION&gt;&lt;![CDATA[Промеры стыковых зазоров]]&gt;&lt;/DESCRIPTION&gt;&lt;PARENT&gt;010002000102&lt;/PARENT&gt;&lt;CLASSIFICATIONID&gt;INSPEC_GO_SURVEY_103&lt;/CLASSIFICATIONID&gt;&lt;CLASSUSEWITH&gt;&lt;DESCRIPTION&gt;Применять с точками километра&lt;/DESCRIPTION&gt;&lt;OBJECTNAME&gt;INSPEC_POINT&lt;/OBJECTNAME&gt;&lt;OBJECTVALUE&gt;INSPEC_POINT&lt;/OBJECTVALUE&gt;&lt;TOPLEVEL&gt;0&lt;/TOPLEVEL&gt;&lt;/CLASSUSEWITH&gt;&lt;CLASSUSEWITH&gt;&lt;DESCRIPTION&gt;Применять с рабочими заданиями&lt;/DESCRIPTION&gt;&lt;OBJECTNAME&gt;WORKORDER&lt;/OBJECTNAME&gt;&lt;OBJECTVALUE&gt;РАБОЧЕЕЗАДАНИЕ&lt;/OBJECTVALUE&gt;&lt;TOPLEVEL&gt;0&lt;/TOPLEVEL&gt;&lt;/CLASSUSEWITH&gt;&lt;/CLASSSTRUCTURE&gt;</v>
      </c>
    </row>
    <row r="23" spans="1:5" x14ac:dyDescent="0.25">
      <c r="A23" s="2">
        <v>10002000104</v>
      </c>
      <c r="B23" s="7" t="s">
        <v>25</v>
      </c>
      <c r="C23" s="2">
        <v>10002000102</v>
      </c>
      <c r="D23" s="2" t="str">
        <f t="shared" si="5"/>
        <v>INSPEC_GO_SURVEY_104</v>
      </c>
      <c r="E23" t="str">
        <f t="shared" si="0"/>
        <v>&lt;CLASSSTRUCTURE&gt;&lt;CLASSSTRUCTUREID&gt;010002000104&lt;/CLASSSTRUCTUREID&gt;&lt;DESCRIPTION&gt;&lt;![CDATA[Промеры стрел прогиба кривых, соответствия проектной кривой её фактическому положению]]&gt;&lt;/DESCRIPTION&gt;&lt;PARENT&gt;010002000102&lt;/PARENT&gt;&lt;CLASSIFICATIONID&gt;INSPEC_GO_SURVEY_104&lt;/CLASSIFICATIONID&gt;&lt;CLASSUSEWITH&gt;&lt;DESCRIPTION&gt;Применять с точками километра&lt;/DESCRIPTION&gt;&lt;OBJECTNAME&gt;INSPEC_POINT&lt;/OBJECTNAME&gt;&lt;OBJECTVALUE&gt;INSPEC_POINT&lt;/OBJECTVALUE&gt;&lt;TOPLEVEL&gt;0&lt;/TOPLEVEL&gt;&lt;/CLASSUSEWITH&gt;&lt;CLASSUSEWITH&gt;&lt;DESCRIPTION&gt;Применять с рабочими заданиями&lt;/DESCRIPTION&gt;&lt;OBJECTNAME&gt;WORKORDER&lt;/OBJECTNAME&gt;&lt;OBJECTVALUE&gt;РАБОЧЕЕЗАДАНИЕ&lt;/OBJECTVALUE&gt;&lt;TOPLEVEL&gt;0&lt;/TOPLEVEL&gt;&lt;/CLASSUSEWITH&gt;&lt;/CLASSSTRUCTURE&gt;</v>
      </c>
    </row>
    <row r="24" spans="1:5" x14ac:dyDescent="0.25">
      <c r="A24" s="2">
        <v>10002000105</v>
      </c>
      <c r="B24" s="7" t="s">
        <v>26</v>
      </c>
      <c r="C24" s="2">
        <v>10002000102</v>
      </c>
      <c r="D24" s="2" t="str">
        <f t="shared" si="5"/>
        <v>INSPEC_GO_SURVEY_105</v>
      </c>
      <c r="E24" t="str">
        <f t="shared" si="0"/>
        <v>&lt;CLASSSTRUCTURE&gt;&lt;CLASSSTRUCTUREID&gt;010002000105&lt;/CLASSSTRUCTUREID&gt;&lt;DESCRIPTION&gt;&lt;![CDATA[Осмотр (выбраковка) шпал, стрелочных и мостовых брусьев и определение их пригодности]]&gt;&lt;/DESCRIPTION&gt;&lt;PARENT&gt;010002000102&lt;/PARENT&gt;&lt;CLASSIFICATIONID&gt;INSPEC_GO_SURVEY_105&lt;/CLASSIFICATIONID&gt;&lt;CLASSUSEWITH&gt;&lt;DESCRIPTION&gt;Применять с точками километра&lt;/DESCRIPTION&gt;&lt;OBJECTNAME&gt;INSPEC_POINT&lt;/OBJECTNAME&gt;&lt;OBJECTVALUE&gt;INSPEC_POINT&lt;/OBJECTVALUE&gt;&lt;TOPLEVEL&gt;0&lt;/TOPLEVEL&gt;&lt;/CLASSUSEWITH&gt;&lt;CLASSUSEWITH&gt;&lt;DESCRIPTION&gt;Применять с рабочими заданиями&lt;/DESCRIPTION&gt;&lt;OBJECTNAME&gt;WORKORDER&lt;/OBJECTNAME&gt;&lt;OBJECTVALUE&gt;РАБОЧЕЕЗАДАНИЕ&lt;/OBJECTVALUE&gt;&lt;TOPLEVEL&gt;0&lt;/TOPLEVEL&gt;&lt;/CLASSUSEWITH&gt;&lt;/CLASSSTRUCTURE&gt;</v>
      </c>
    </row>
    <row r="25" spans="1:5" x14ac:dyDescent="0.25">
      <c r="A25" s="2">
        <v>10002000106</v>
      </c>
      <c r="B25" s="7" t="s">
        <v>27</v>
      </c>
      <c r="C25" s="2">
        <v>10002000102</v>
      </c>
      <c r="D25" s="2" t="str">
        <f t="shared" si="5"/>
        <v>INSPEC_GO_SURVEY_106</v>
      </c>
      <c r="E25" t="str">
        <f t="shared" si="0"/>
        <v>&lt;CLASSSTRUCTURE&gt;&lt;CLASSSTRUCTUREID&gt;010002000106&lt;/CLASSSTRUCTUREID&gt;&lt;DESCRIPTION&gt;&lt;![CDATA[Промеры износов рельсов (вертикального и горизонтального) с маркировкой дефектных]]&gt;&lt;/DESCRIPTION&gt;&lt;PARENT&gt;010002000102&lt;/PARENT&gt;&lt;CLASSIFICATIONID&gt;INSPEC_GO_SURVEY_106&lt;/CLASSIFICATIONID&gt;&lt;CLASSUSEWITH&gt;&lt;DESCRIPTION&gt;Применять с точками километра&lt;/DESCRIPTION&gt;&lt;OBJECTNAME&gt;INSPEC_POINT&lt;/OBJECTNAME&gt;&lt;OBJECTVALUE&gt;INSPEC_POINT&lt;/OBJECTVALUE&gt;&lt;TOPLEVEL&gt;0&lt;/TOPLEVEL&gt;&lt;/CLASSUSEWITH&gt;&lt;CLASSUSEWITH&gt;&lt;DESCRIPTION&gt;Применять с рабочими заданиями&lt;/DESCRIPTION&gt;&lt;OBJECTNAME&gt;WORKORDER&lt;/OBJECTNAME&gt;&lt;OBJECTVALUE&gt;РАБОЧЕЕЗАДАНИЕ&lt;/OBJECTVALUE&gt;&lt;TOPLEVEL&gt;0&lt;/TOPLEVEL&gt;&lt;/CLASSUSEWITH&gt;&lt;/CLASSSTRUCTURE&gt;</v>
      </c>
    </row>
    <row r="26" spans="1:5" x14ac:dyDescent="0.25">
      <c r="A26" s="2">
        <v>10002000107</v>
      </c>
      <c r="B26" s="7" t="s">
        <v>28</v>
      </c>
      <c r="C26" s="2">
        <v>10002000102</v>
      </c>
      <c r="D26" s="2" t="str">
        <f t="shared" si="5"/>
        <v>INSPEC_GO_SURVEY_107</v>
      </c>
      <c r="E26" t="str">
        <f t="shared" si="0"/>
        <v>&lt;CLASSSTRUCTURE&gt;&lt;CLASSSTRUCTUREID&gt;010002000107&lt;/CLASSSTRUCTUREID&gt;&lt;DESCRIPTION&gt;&lt;![CDATA[Промеры колеи по шаблону и уровню]]&gt;&lt;/DESCRIPTION&gt;&lt;PARENT&gt;010002000102&lt;/PARENT&gt;&lt;CLASSIFICATIONID&gt;INSPEC_GO_SURVEY_107&lt;/CLASSIFICATIONID&gt;&lt;CLASSUSEWITH&gt;&lt;DESCRIPTION&gt;Применять с точками километра&lt;/DESCRIPTION&gt;&lt;OBJECTNAME&gt;INSPEC_POINT&lt;/OBJECTNAME&gt;&lt;OBJECTVALUE&gt;INSPEC_POINT&lt;/OBJECTVALUE&gt;&lt;TOPLEVEL&gt;0&lt;/TOPLEVEL&gt;&lt;/CLASSUSEWITH&gt;&lt;CLASSUSEWITH&gt;&lt;DESCRIPTION&gt;Применять с рабочими заданиями&lt;/DESCRIPTION&gt;&lt;OBJECTNAME&gt;WORKORDER&lt;/OBJECTNAME&gt;&lt;OBJECTVALUE&gt;РАБОЧЕЕЗАДАНИЕ&lt;/OBJECTVALUE&gt;&lt;TOPLEVEL&gt;0&lt;/TOPLEVEL&gt;&lt;/CLASSUSEWITH&gt;&lt;/CLASSSTRUCTURE&gt;</v>
      </c>
    </row>
    <row r="27" spans="1:5" x14ac:dyDescent="0.25">
      <c r="A27" s="2">
        <v>10002000108</v>
      </c>
      <c r="B27" s="7" t="s">
        <v>29</v>
      </c>
      <c r="C27" s="2">
        <v>10002000102</v>
      </c>
      <c r="D27" s="2" t="str">
        <f t="shared" si="5"/>
        <v>INSPEC_GO_SURVEY_108</v>
      </c>
      <c r="E27" t="str">
        <f t="shared" si="0"/>
        <v>&lt;CLASSSTRUCTURE&gt;&lt;CLASSSTRUCTUREID&gt;010002000108&lt;/CLASSSTRUCTUREID&gt;&lt;DESCRIPTION&gt;&lt;![CDATA[Промеры стрелочных переводов по шаблону и уровню, ширине желобов, шагу остряка, износу рамных рельс, остряков и крестовин, ординат в переводной и закрестовинной кривых]]&gt;&lt;/DESCRIPTION&gt;&lt;PARENT&gt;010002000102&lt;/PARENT&gt;&lt;CLASSIFICATIONID&gt;INSPEC_GO_SURVEY_108&lt;/CLASSIFICATIONID&gt;&lt;CLASSUSEWITH&gt;&lt;DESCRIPTION&gt;Применять с точками километра&lt;/DESCRIPTION&gt;&lt;OBJECTNAME&gt;INSPEC_POINT&lt;/OBJECTNAME&gt;&lt;OBJECTVALUE&gt;INSPEC_POINT&lt;/OBJECTVALUE&gt;&lt;TOPLEVEL&gt;0&lt;/TOPLEVEL&gt;&lt;/CLASSUSEWITH&gt;&lt;CLASSUSEWITH&gt;&lt;DESCRIPTION&gt;Применять с рабочими заданиями&lt;/DESCRIPTION&gt;&lt;OBJECTNAME&gt;WORKORDER&lt;/OBJECTNAME&gt;&lt;OBJECTVALUE&gt;РАБОЧЕЕЗАДАНИЕ&lt;/OBJECTVALUE&gt;&lt;TOPLEVEL&gt;0&lt;/TOPLEVEL&gt;&lt;/CLASSUSEWITH&gt;&lt;/CLASSSTRUCTURE&gt;</v>
      </c>
    </row>
    <row r="28" spans="1:5" x14ac:dyDescent="0.25">
      <c r="A28" s="2">
        <v>10002000109</v>
      </c>
      <c r="B28" s="7" t="s">
        <v>30</v>
      </c>
      <c r="C28" s="2">
        <v>10002000102</v>
      </c>
      <c r="D28" s="2" t="str">
        <f t="shared" si="5"/>
        <v>INSPEC_GO_SURVEY_109</v>
      </c>
      <c r="E28" t="str">
        <f t="shared" si="0"/>
        <v>&lt;CLASSSTRUCTURE&gt;&lt;CLASSSTRUCTUREID&gt;010002000109&lt;/CLASSSTRUCTUREID&gt;&lt;DESCRIPTION&gt;&lt;![CDATA[Визуальная проверка состояния балластной призмы]]&gt;&lt;/DESCRIPTION&gt;&lt;PARENT&gt;010002000102&lt;/PARENT&gt;&lt;CLASSIFICATIONID&gt;INSPEC_GO_SURVEY_109&lt;/CLASSIFICATIONID&gt;&lt;CLASSUSEWITH&gt;&lt;DESCRIPTION&gt;Применять с точками километра&lt;/DESCRIPTION&gt;&lt;OBJECTNAME&gt;INSPEC_POINT&lt;/OBJECTNAME&gt;&lt;OBJECTVALUE&gt;INSPEC_POINT&lt;/OBJECTVALUE&gt;&lt;TOPLEVEL&gt;0&lt;/TOPLEVEL&gt;&lt;/CLASSUSEWITH&gt;&lt;CLASSUSEWITH&gt;&lt;DESCRIPTION&gt;Применять с рабочими заданиями&lt;/DESCRIPTION&gt;&lt;OBJECTNAME&gt;WORKORDER&lt;/OBJECTNAME&gt;&lt;OBJECTVALUE&gt;РАБОЧЕЕЗАДАНИЕ&lt;/OBJECTVALUE&gt;&lt;TOPLEVEL&gt;0&lt;/TOPLEVEL&gt;&lt;/CLASSUSEWITH&gt;&lt;/CLASSSTRUCTURE&gt;</v>
      </c>
    </row>
    <row r="29" spans="1:5" x14ac:dyDescent="0.25">
      <c r="A29" s="2">
        <v>10002000110</v>
      </c>
      <c r="B29" s="7" t="s">
        <v>31</v>
      </c>
      <c r="C29" s="2">
        <v>10002000102</v>
      </c>
      <c r="D29" s="2" t="str">
        <f t="shared" si="5"/>
        <v>INSPEC_GO_SURVEY_110</v>
      </c>
      <c r="E29" t="str">
        <f t="shared" si="0"/>
        <v>&lt;CLASSSTRUCTURE&gt;&lt;CLASSSTRUCTUREID&gt;010002000110&lt;/CLASSSTRUCTUREID&gt;&lt;DESCRIPTION&gt;&lt;![CDATA[Осмотр и выявление дефектных и отсутствующих скреплений]]&gt;&lt;/DESCRIPTION&gt;&lt;PARENT&gt;010002000102&lt;/PARENT&gt;&lt;CLASSIFICATIONID&gt;INSPEC_GO_SURVEY_110&lt;/CLASSIFICATIONID&gt;&lt;CLASSUSEWITH&gt;&lt;DESCRIPTION&gt;Применять с точками километра&lt;/DESCRIPTION&gt;&lt;OBJECTNAME&gt;INSPEC_POINT&lt;/OBJECTNAME&gt;&lt;OBJECTVALUE&gt;INSPEC_POINT&lt;/OBJECTVALUE&gt;&lt;TOPLEVEL&gt;0&lt;/TOPLEVEL&gt;&lt;/CLASSUSEWITH&gt;&lt;CLASSUSEWITH&gt;&lt;DESCRIPTION&gt;Применять с рабочими заданиями&lt;/DESCRIPTION&gt;&lt;OBJECTNAME&gt;WORKORDER&lt;/OBJECTNAME&gt;&lt;OBJECTVALUE&gt;РАБОЧЕЕЗАДАНИЕ&lt;/OBJECTVALUE&gt;&lt;TOPLEVEL&gt;0&lt;/TOPLEVEL&gt;&lt;/CLASSUSEWITH&gt;&lt;/CLASSSTRUCTURE&gt;</v>
      </c>
    </row>
    <row r="30" spans="1:5" x14ac:dyDescent="0.25">
      <c r="A30" s="2">
        <v>10002000111</v>
      </c>
      <c r="B30" s="7" t="s">
        <v>32</v>
      </c>
      <c r="C30" s="2">
        <v>10002000102</v>
      </c>
      <c r="D30" s="2" t="str">
        <f t="shared" si="5"/>
        <v>INSPEC_GO_SURVEY_111</v>
      </c>
      <c r="E30" t="str">
        <f t="shared" si="0"/>
        <v>&lt;CLASSSTRUCTURE&gt;&lt;CLASSSTRUCTUREID&gt;010002000111&lt;/CLASSSTRUCTUREID&gt;&lt;DESCRIPTION&gt;&lt;![CDATA[Осмотр состояния рельсовых цепей]]&gt;&lt;/DESCRIPTION&gt;&lt;PARENT&gt;010002000102&lt;/PARENT&gt;&lt;CLASSIFICATIONID&gt;INSPEC_GO_SURVEY_111&lt;/CLASSIFICATIONID&gt;&lt;CLASSUSEWITH&gt;&lt;DESCRIPTION&gt;Применять с точками километра&lt;/DESCRIPTION&gt;&lt;OBJECTNAME&gt;INSPEC_POINT&lt;/OBJECTNAME&gt;&lt;OBJECTVALUE&gt;INSPEC_POINT&lt;/OBJECTVALUE&gt;&lt;TOPLEVEL&gt;0&lt;/TOPLEVEL&gt;&lt;/CLASSUSEWITH&gt;&lt;CLASSUSEWITH&gt;&lt;DESCRIPTION&gt;Применять с рабочими заданиями&lt;/DESCRIPTION&gt;&lt;OBJECTNAME&gt;WORKORDER&lt;/OBJECTNAME&gt;&lt;OBJECTVALUE&gt;РАБОЧЕЕЗАДАНИЕ&lt;/OBJECTVALUE&gt;&lt;TOPLEVEL&gt;0&lt;/TOPLEVEL&gt;&lt;/CLASSUSEWITH&gt;&lt;/CLASSSTRUCTURE&gt;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1"/>
  <sheetViews>
    <sheetView topLeftCell="D1" workbookViewId="0">
      <selection activeCell="B31" sqref="B31:AD31"/>
    </sheetView>
  </sheetViews>
  <sheetFormatPr defaultRowHeight="15" x14ac:dyDescent="0.25"/>
  <cols>
    <col min="1" max="1" width="12" bestFit="1" customWidth="1"/>
  </cols>
  <sheetData>
    <row r="1" spans="1:2" x14ac:dyDescent="0.25">
      <c r="A1" s="2">
        <v>10002000000</v>
      </c>
      <c r="B1" t="str">
        <f>"'0"&amp;A1&amp;"',"</f>
        <v>'010002000000',</v>
      </c>
    </row>
    <row r="2" spans="1:2" x14ac:dyDescent="0.25">
      <c r="A2" s="2">
        <v>10002000001</v>
      </c>
      <c r="B2" t="str">
        <f t="shared" ref="B2:B29" si="0">"'0"&amp;A2&amp;"',"</f>
        <v>'010002000001',</v>
      </c>
    </row>
    <row r="3" spans="1:2" x14ac:dyDescent="0.25">
      <c r="A3" s="2">
        <v>10002000002</v>
      </c>
      <c r="B3" t="str">
        <f t="shared" si="0"/>
        <v>'010002000002',</v>
      </c>
    </row>
    <row r="4" spans="1:2" x14ac:dyDescent="0.25">
      <c r="A4" s="2">
        <v>10002000003</v>
      </c>
      <c r="B4" t="str">
        <f t="shared" si="0"/>
        <v>'010002000003',</v>
      </c>
    </row>
    <row r="5" spans="1:2" x14ac:dyDescent="0.25">
      <c r="A5" s="2">
        <v>10002000004</v>
      </c>
      <c r="B5" t="str">
        <f t="shared" si="0"/>
        <v>'010002000004',</v>
      </c>
    </row>
    <row r="6" spans="1:2" x14ac:dyDescent="0.25">
      <c r="A6" s="2">
        <v>10002000005</v>
      </c>
      <c r="B6" t="str">
        <f t="shared" si="0"/>
        <v>'010002000005',</v>
      </c>
    </row>
    <row r="7" spans="1:2" x14ac:dyDescent="0.25">
      <c r="A7" s="2">
        <v>10002000006</v>
      </c>
      <c r="B7" t="str">
        <f t="shared" si="0"/>
        <v>'010002000006',</v>
      </c>
    </row>
    <row r="8" spans="1:2" x14ac:dyDescent="0.25">
      <c r="A8" s="2">
        <v>10002000007</v>
      </c>
      <c r="B8" t="str">
        <f t="shared" si="0"/>
        <v>'010002000007',</v>
      </c>
    </row>
    <row r="9" spans="1:2" x14ac:dyDescent="0.25">
      <c r="A9" s="2">
        <v>10002000008</v>
      </c>
      <c r="B9" t="str">
        <f t="shared" si="0"/>
        <v>'010002000008',</v>
      </c>
    </row>
    <row r="10" spans="1:2" x14ac:dyDescent="0.25">
      <c r="A10" s="2">
        <v>10002000009</v>
      </c>
      <c r="B10" t="str">
        <f t="shared" si="0"/>
        <v>'010002000009',</v>
      </c>
    </row>
    <row r="11" spans="1:2" x14ac:dyDescent="0.25">
      <c r="A11" s="2">
        <v>10002000050</v>
      </c>
      <c r="B11" t="str">
        <f t="shared" si="0"/>
        <v>'010002000050',</v>
      </c>
    </row>
    <row r="12" spans="1:2" x14ac:dyDescent="0.25">
      <c r="A12" s="2">
        <v>10002000051</v>
      </c>
      <c r="B12" t="str">
        <f t="shared" si="0"/>
        <v>'010002000051',</v>
      </c>
    </row>
    <row r="13" spans="1:2" x14ac:dyDescent="0.25">
      <c r="A13" s="2">
        <v>10002000052</v>
      </c>
      <c r="B13" t="str">
        <f t="shared" si="0"/>
        <v>'010002000052',</v>
      </c>
    </row>
    <row r="14" spans="1:2" x14ac:dyDescent="0.25">
      <c r="A14" s="2">
        <v>10002000054</v>
      </c>
      <c r="B14" t="str">
        <f t="shared" si="0"/>
        <v>'010002000054',</v>
      </c>
    </row>
    <row r="15" spans="1:2" x14ac:dyDescent="0.25">
      <c r="A15" s="2">
        <v>10002000055</v>
      </c>
      <c r="B15" t="str">
        <f t="shared" si="0"/>
        <v>'010002000055',</v>
      </c>
    </row>
    <row r="16" spans="1:2" x14ac:dyDescent="0.25">
      <c r="A16" s="2">
        <v>10002000056</v>
      </c>
      <c r="B16" t="str">
        <f t="shared" si="0"/>
        <v>'010002000056',</v>
      </c>
    </row>
    <row r="17" spans="1:30" x14ac:dyDescent="0.25">
      <c r="A17" s="2">
        <v>10002000057</v>
      </c>
      <c r="B17" t="str">
        <f t="shared" si="0"/>
        <v>'010002000057',</v>
      </c>
    </row>
    <row r="18" spans="1:30" x14ac:dyDescent="0.25">
      <c r="A18" s="2">
        <v>10002000100</v>
      </c>
      <c r="B18" t="str">
        <f t="shared" si="0"/>
        <v>'010002000100',</v>
      </c>
    </row>
    <row r="19" spans="1:30" x14ac:dyDescent="0.25">
      <c r="A19" s="2">
        <v>10002000101</v>
      </c>
      <c r="B19" t="str">
        <f t="shared" si="0"/>
        <v>'010002000101',</v>
      </c>
    </row>
    <row r="20" spans="1:30" x14ac:dyDescent="0.25">
      <c r="A20" s="2">
        <v>10002000102</v>
      </c>
      <c r="B20" t="str">
        <f t="shared" si="0"/>
        <v>'010002000102',</v>
      </c>
    </row>
    <row r="21" spans="1:30" x14ac:dyDescent="0.25">
      <c r="A21" s="2">
        <v>10002000103</v>
      </c>
      <c r="B21" t="str">
        <f t="shared" si="0"/>
        <v>'010002000103',</v>
      </c>
    </row>
    <row r="22" spans="1:30" x14ac:dyDescent="0.25">
      <c r="A22" s="2">
        <v>10002000104</v>
      </c>
      <c r="B22" t="str">
        <f t="shared" si="0"/>
        <v>'010002000104',</v>
      </c>
    </row>
    <row r="23" spans="1:30" x14ac:dyDescent="0.25">
      <c r="A23" s="2">
        <v>10002000105</v>
      </c>
      <c r="B23" t="str">
        <f t="shared" si="0"/>
        <v>'010002000105',</v>
      </c>
    </row>
    <row r="24" spans="1:30" x14ac:dyDescent="0.25">
      <c r="A24" s="2">
        <v>10002000106</v>
      </c>
      <c r="B24" t="str">
        <f t="shared" si="0"/>
        <v>'010002000106',</v>
      </c>
    </row>
    <row r="25" spans="1:30" x14ac:dyDescent="0.25">
      <c r="A25" s="2">
        <v>10002000107</v>
      </c>
      <c r="B25" t="str">
        <f t="shared" si="0"/>
        <v>'010002000107',</v>
      </c>
    </row>
    <row r="26" spans="1:30" x14ac:dyDescent="0.25">
      <c r="A26" s="2">
        <v>10002000108</v>
      </c>
      <c r="B26" t="str">
        <f t="shared" si="0"/>
        <v>'010002000108',</v>
      </c>
    </row>
    <row r="27" spans="1:30" x14ac:dyDescent="0.25">
      <c r="A27" s="2">
        <v>10002000109</v>
      </c>
      <c r="B27" t="str">
        <f t="shared" si="0"/>
        <v>'010002000109',</v>
      </c>
    </row>
    <row r="28" spans="1:30" x14ac:dyDescent="0.25">
      <c r="A28" s="2">
        <v>10002000110</v>
      </c>
      <c r="B28" t="str">
        <f t="shared" si="0"/>
        <v>'010002000110',</v>
      </c>
    </row>
    <row r="29" spans="1:30" x14ac:dyDescent="0.25">
      <c r="A29" s="2">
        <v>10002000111</v>
      </c>
      <c r="B29" t="str">
        <f t="shared" si="0"/>
        <v>'010002000111',</v>
      </c>
    </row>
    <row r="31" spans="1:30" x14ac:dyDescent="0.25">
      <c r="B31" t="s">
        <v>34</v>
      </c>
      <c r="C31" t="s">
        <v>35</v>
      </c>
      <c r="D31" t="s">
        <v>36</v>
      </c>
      <c r="E31" t="s">
        <v>37</v>
      </c>
      <c r="F31" t="s">
        <v>38</v>
      </c>
      <c r="G31" t="s">
        <v>39</v>
      </c>
      <c r="H31" t="s">
        <v>40</v>
      </c>
      <c r="I31" t="s">
        <v>41</v>
      </c>
      <c r="J31" t="s">
        <v>42</v>
      </c>
      <c r="K31" t="s">
        <v>43</v>
      </c>
      <c r="L31" t="s">
        <v>44</v>
      </c>
      <c r="M31" t="s">
        <v>45</v>
      </c>
      <c r="N31" t="s">
        <v>46</v>
      </c>
      <c r="O31" t="s">
        <v>47</v>
      </c>
      <c r="P31" t="s">
        <v>48</v>
      </c>
      <c r="Q31" t="s">
        <v>49</v>
      </c>
      <c r="R31" t="s">
        <v>50</v>
      </c>
      <c r="S31" t="s">
        <v>51</v>
      </c>
      <c r="T31" t="s">
        <v>52</v>
      </c>
      <c r="U31" t="s">
        <v>53</v>
      </c>
      <c r="V31" t="s">
        <v>54</v>
      </c>
      <c r="W31" t="s">
        <v>55</v>
      </c>
      <c r="X31" t="s">
        <v>56</v>
      </c>
      <c r="Y31" t="s">
        <v>57</v>
      </c>
      <c r="Z31" t="s">
        <v>58</v>
      </c>
      <c r="AA31" t="s">
        <v>59</v>
      </c>
      <c r="AB31" t="s">
        <v>60</v>
      </c>
      <c r="AC31" t="s">
        <v>61</v>
      </c>
      <c r="AD31" t="s">
        <v>62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ОЦРВ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Шапошников</dc:creator>
  <cp:lastModifiedBy>Шапошников</cp:lastModifiedBy>
  <dcterms:created xsi:type="dcterms:W3CDTF">2012-11-30T07:32:59Z</dcterms:created>
  <dcterms:modified xsi:type="dcterms:W3CDTF">2013-05-07T10:57:36Z</dcterms:modified>
</cp:coreProperties>
</file>