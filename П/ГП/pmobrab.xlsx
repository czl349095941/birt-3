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20610" windowHeight="11640"/>
  </bookViews>
  <sheets>
    <sheet name="объемы" sheetId="1" r:id="rId1"/>
    <sheet name="опции" sheetId="2" r:id="rId2"/>
    <sheet name="доп.опции" sheetId="3" r:id="rId3"/>
    <sheet name="Лист1" sheetId="4" r:id="rId4"/>
  </sheets>
  <calcPr calcId="125725"/>
</workbook>
</file>

<file path=xl/calcChain.xml><?xml version="1.0" encoding="utf-8"?>
<calcChain xmlns="http://schemas.openxmlformats.org/spreadsheetml/2006/main">
  <c r="G85" i="1"/>
  <c r="J34" i="3"/>
  <c r="G34"/>
  <c r="L34"/>
  <c r="L27"/>
  <c r="J27"/>
  <c r="J26"/>
  <c r="G26"/>
  <c r="G27"/>
  <c r="G86" i="1"/>
  <c r="G83"/>
  <c r="G82"/>
  <c r="G80"/>
  <c r="G79"/>
  <c r="I2" i="2"/>
  <c r="G27" i="1"/>
  <c r="G26"/>
  <c r="G25"/>
  <c r="G149"/>
  <c r="G147"/>
  <c r="G148"/>
  <c r="M2" i="2" l="1"/>
  <c r="M85"/>
  <c r="M86"/>
  <c r="M84"/>
  <c r="M37"/>
  <c r="M38"/>
  <c r="M39"/>
  <c r="M40"/>
  <c r="M41"/>
  <c r="M42"/>
  <c r="M43"/>
  <c r="M44"/>
  <c r="M45"/>
  <c r="M46"/>
  <c r="M47"/>
  <c r="M48"/>
  <c r="M49"/>
  <c r="M50"/>
  <c r="M51"/>
  <c r="M52"/>
  <c r="M53"/>
  <c r="M54"/>
  <c r="M55"/>
  <c r="M56"/>
  <c r="M57"/>
  <c r="M58"/>
  <c r="M59"/>
  <c r="M60"/>
  <c r="M61"/>
  <c r="M62"/>
  <c r="M63"/>
  <c r="M64"/>
  <c r="M65"/>
  <c r="M66"/>
  <c r="M67"/>
  <c r="M68"/>
  <c r="M69"/>
  <c r="M70"/>
  <c r="M71"/>
  <c r="M72"/>
  <c r="M73"/>
  <c r="M74"/>
  <c r="M75"/>
  <c r="M76"/>
  <c r="M77"/>
  <c r="M3"/>
  <c r="M4"/>
  <c r="M5"/>
  <c r="M6"/>
  <c r="M7"/>
  <c r="M8"/>
  <c r="M9"/>
  <c r="M10"/>
  <c r="M11"/>
  <c r="M12"/>
  <c r="M13"/>
  <c r="M14"/>
  <c r="M15"/>
  <c r="M16"/>
  <c r="M17"/>
  <c r="M18"/>
  <c r="M19"/>
  <c r="M20"/>
  <c r="M21"/>
  <c r="M22"/>
  <c r="M23"/>
  <c r="M24"/>
  <c r="M25"/>
  <c r="M26"/>
  <c r="M27"/>
  <c r="M28"/>
  <c r="M29"/>
  <c r="M30"/>
  <c r="M31"/>
  <c r="M32"/>
  <c r="M33"/>
  <c r="M34"/>
  <c r="M35"/>
  <c r="K77"/>
  <c r="P11"/>
  <c r="I53"/>
  <c r="E84"/>
  <c r="J2" i="3"/>
  <c r="L35"/>
  <c r="J28"/>
  <c r="J29"/>
  <c r="J30"/>
  <c r="J31"/>
  <c r="J32"/>
  <c r="J33"/>
  <c r="I86" i="2"/>
  <c r="P71"/>
  <c r="I71"/>
  <c r="P2"/>
  <c r="G35" i="3"/>
  <c r="K2" i="2"/>
  <c r="I59"/>
  <c r="L28" i="3"/>
  <c r="L29"/>
  <c r="L30"/>
  <c r="L31"/>
  <c r="L32"/>
  <c r="L33"/>
  <c r="G59" i="1"/>
  <c r="G58"/>
  <c r="I65" i="2"/>
  <c r="L26" i="3"/>
  <c r="G143" i="1"/>
  <c r="K86" i="2"/>
  <c r="P86" s="1"/>
  <c r="L25" i="3" l="1"/>
  <c r="J25"/>
  <c r="G25"/>
  <c r="G47" i="1"/>
  <c r="G44"/>
  <c r="G43"/>
  <c r="J23" i="3"/>
  <c r="G23"/>
  <c r="P85" i="2"/>
  <c r="K84"/>
  <c r="P84" s="1"/>
  <c r="K85"/>
  <c r="I85"/>
  <c r="G85"/>
  <c r="M36"/>
  <c r="G65" i="1"/>
  <c r="J24" i="3" l="1"/>
  <c r="G24" l="1"/>
  <c r="G61" i="1"/>
  <c r="P35" i="2"/>
  <c r="I35"/>
  <c r="L23" i="3" l="1"/>
  <c r="L7"/>
  <c r="J7"/>
  <c r="G7"/>
  <c r="G123" i="1"/>
  <c r="G57"/>
  <c r="G54"/>
  <c r="G49"/>
  <c r="G48"/>
  <c r="G46"/>
  <c r="G45"/>
  <c r="L3" i="3"/>
  <c r="L4"/>
  <c r="L5"/>
  <c r="L6"/>
  <c r="L8"/>
  <c r="L9"/>
  <c r="L10"/>
  <c r="L11"/>
  <c r="L12"/>
  <c r="L13"/>
  <c r="L14"/>
  <c r="L15"/>
  <c r="L16"/>
  <c r="L17"/>
  <c r="L18"/>
  <c r="L19"/>
  <c r="L20"/>
  <c r="L21"/>
  <c r="L22"/>
  <c r="L24"/>
  <c r="J3"/>
  <c r="J4"/>
  <c r="J5"/>
  <c r="J6"/>
  <c r="J8"/>
  <c r="J9"/>
  <c r="J10"/>
  <c r="J11"/>
  <c r="J12"/>
  <c r="J13"/>
  <c r="J14"/>
  <c r="J15"/>
  <c r="J16"/>
  <c r="J17"/>
  <c r="J18"/>
  <c r="J19"/>
  <c r="J20"/>
  <c r="J21"/>
  <c r="J22"/>
  <c r="G3"/>
  <c r="G4"/>
  <c r="G5"/>
  <c r="G6"/>
  <c r="G8"/>
  <c r="G9"/>
  <c r="G10"/>
  <c r="G11"/>
  <c r="G12"/>
  <c r="G13"/>
  <c r="G14"/>
  <c r="G15"/>
  <c r="G16"/>
  <c r="G17"/>
  <c r="G18"/>
  <c r="G19"/>
  <c r="G20"/>
  <c r="G21"/>
  <c r="G22"/>
  <c r="G2" i="1"/>
  <c r="G144"/>
  <c r="G146"/>
  <c r="G145"/>
  <c r="G127"/>
  <c r="G126"/>
  <c r="G125"/>
  <c r="G124"/>
  <c r="G122"/>
  <c r="G115"/>
  <c r="G114"/>
  <c r="G113"/>
  <c r="G111"/>
  <c r="G110"/>
  <c r="G109"/>
  <c r="G108"/>
  <c r="G107"/>
  <c r="G106"/>
  <c r="G105"/>
  <c r="G104"/>
  <c r="G93"/>
  <c r="G89"/>
  <c r="G92"/>
  <c r="G91"/>
  <c r="G90"/>
  <c r="G77"/>
  <c r="G71"/>
  <c r="G76"/>
  <c r="G75"/>
  <c r="G74"/>
  <c r="G73"/>
  <c r="G72"/>
  <c r="G69"/>
  <c r="G70"/>
  <c r="G68"/>
  <c r="G67"/>
  <c r="G66"/>
  <c r="G64"/>
  <c r="G60"/>
  <c r="G42"/>
  <c r="G33"/>
  <c r="G28"/>
  <c r="G41"/>
  <c r="G37"/>
  <c r="G38"/>
  <c r="G39"/>
  <c r="G40"/>
  <c r="G36"/>
  <c r="G35"/>
  <c r="G34"/>
  <c r="G32"/>
  <c r="G29"/>
  <c r="G30"/>
  <c r="G31"/>
  <c r="G4"/>
  <c r="G5"/>
  <c r="G6"/>
  <c r="G7"/>
  <c r="G8"/>
  <c r="G9"/>
  <c r="G10"/>
  <c r="G11"/>
  <c r="G12"/>
  <c r="G13"/>
  <c r="G14"/>
  <c r="G15"/>
  <c r="G16"/>
  <c r="G17"/>
  <c r="G18"/>
  <c r="G19"/>
  <c r="G20"/>
  <c r="G21"/>
  <c r="G22"/>
  <c r="G23"/>
  <c r="G24"/>
  <c r="G3"/>
  <c r="G84" i="2"/>
  <c r="I84" s="1"/>
  <c r="G3" l="1"/>
  <c r="I3" s="1"/>
  <c r="G4"/>
  <c r="I4" s="1"/>
  <c r="G5"/>
  <c r="I5" s="1"/>
  <c r="G6"/>
  <c r="I6" s="1"/>
  <c r="G7"/>
  <c r="I7" s="1"/>
  <c r="G8"/>
  <c r="I8" s="1"/>
  <c r="G9"/>
  <c r="I9" s="1"/>
  <c r="G10"/>
  <c r="I10" s="1"/>
  <c r="G11"/>
  <c r="I11" s="1"/>
  <c r="G12"/>
  <c r="I12" s="1"/>
  <c r="G13"/>
  <c r="I13" s="1"/>
  <c r="G14"/>
  <c r="I14" s="1"/>
  <c r="G15"/>
  <c r="I15" s="1"/>
  <c r="G16"/>
  <c r="I16" s="1"/>
  <c r="G17"/>
  <c r="I17" s="1"/>
  <c r="G18"/>
  <c r="I18" s="1"/>
  <c r="G19"/>
  <c r="I19" s="1"/>
  <c r="G20"/>
  <c r="I20" s="1"/>
  <c r="G21"/>
  <c r="I21" s="1"/>
  <c r="G22"/>
  <c r="I22" s="1"/>
  <c r="G23"/>
  <c r="I23" s="1"/>
  <c r="G24"/>
  <c r="I24" s="1"/>
  <c r="G25"/>
  <c r="I25" s="1"/>
  <c r="G26"/>
  <c r="I26" s="1"/>
  <c r="G27"/>
  <c r="I27" s="1"/>
  <c r="G28"/>
  <c r="I28" s="1"/>
  <c r="G29"/>
  <c r="I29" s="1"/>
  <c r="G30"/>
  <c r="I30" s="1"/>
  <c r="G31"/>
  <c r="I31" s="1"/>
  <c r="G32"/>
  <c r="I32" s="1"/>
  <c r="G33"/>
  <c r="I33" s="1"/>
  <c r="G34"/>
  <c r="I34" s="1"/>
  <c r="G35"/>
  <c r="G36"/>
  <c r="I36" s="1"/>
  <c r="G37"/>
  <c r="I37" s="1"/>
  <c r="G38"/>
  <c r="I38" s="1"/>
  <c r="G39"/>
  <c r="I39" s="1"/>
  <c r="G40"/>
  <c r="I40" s="1"/>
  <c r="G41"/>
  <c r="I41" s="1"/>
  <c r="G42"/>
  <c r="I42" s="1"/>
  <c r="G43"/>
  <c r="I43" s="1"/>
  <c r="G44"/>
  <c r="I44" s="1"/>
  <c r="G45"/>
  <c r="I45" s="1"/>
  <c r="G46"/>
  <c r="I46" s="1"/>
  <c r="G47"/>
  <c r="I47" s="1"/>
  <c r="G48"/>
  <c r="I48" s="1"/>
  <c r="G49"/>
  <c r="I49" s="1"/>
  <c r="G50"/>
  <c r="I50" s="1"/>
  <c r="G51"/>
  <c r="I51" s="1"/>
  <c r="G52"/>
  <c r="I52" s="1"/>
  <c r="G53"/>
  <c r="G54"/>
  <c r="I54" s="1"/>
  <c r="G55"/>
  <c r="I55" s="1"/>
  <c r="G56"/>
  <c r="I56" s="1"/>
  <c r="G57"/>
  <c r="I57" s="1"/>
  <c r="G58"/>
  <c r="I58" s="1"/>
  <c r="G59"/>
  <c r="G60"/>
  <c r="I60" s="1"/>
  <c r="G61"/>
  <c r="I61" s="1"/>
  <c r="G62"/>
  <c r="I62" s="1"/>
  <c r="G63"/>
  <c r="I63" s="1"/>
  <c r="G64"/>
  <c r="I64" s="1"/>
  <c r="G65"/>
  <c r="G66"/>
  <c r="I66" s="1"/>
  <c r="G67"/>
  <c r="I67" s="1"/>
  <c r="G68"/>
  <c r="I68" s="1"/>
  <c r="G69"/>
  <c r="I69" s="1"/>
  <c r="G70"/>
  <c r="I70" s="1"/>
  <c r="G71"/>
  <c r="G72"/>
  <c r="I72" s="1"/>
  <c r="G73"/>
  <c r="I73" s="1"/>
  <c r="G74"/>
  <c r="I74" s="1"/>
  <c r="G75"/>
  <c r="I75" s="1"/>
  <c r="G76"/>
  <c r="I76" s="1"/>
  <c r="G77"/>
  <c r="I77" s="1"/>
  <c r="G78"/>
  <c r="G79"/>
  <c r="G80"/>
  <c r="G81"/>
  <c r="G82"/>
  <c r="G83"/>
  <c r="G2"/>
  <c r="L2" i="3" l="1"/>
  <c r="G2"/>
  <c r="P77" i="2" l="1"/>
  <c r="K76"/>
  <c r="P76" s="1"/>
  <c r="K75"/>
  <c r="P75" s="1"/>
  <c r="K74"/>
  <c r="P74" s="1"/>
  <c r="K73"/>
  <c r="P73" s="1"/>
  <c r="K72"/>
  <c r="P72" s="1"/>
  <c r="K71"/>
  <c r="K70"/>
  <c r="P70" s="1"/>
  <c r="K69"/>
  <c r="P69" s="1"/>
  <c r="K68"/>
  <c r="P68" s="1"/>
  <c r="K67"/>
  <c r="P67" s="1"/>
  <c r="K66"/>
  <c r="P66" s="1"/>
  <c r="K65"/>
  <c r="P65" s="1"/>
  <c r="K64"/>
  <c r="P64" s="1"/>
  <c r="K63"/>
  <c r="P63" s="1"/>
  <c r="K62"/>
  <c r="P62" s="1"/>
  <c r="K61"/>
  <c r="P61" s="1"/>
  <c r="K60"/>
  <c r="P60" s="1"/>
  <c r="K59"/>
  <c r="P59" s="1"/>
  <c r="K58"/>
  <c r="P58" s="1"/>
  <c r="K57"/>
  <c r="P57" s="1"/>
  <c r="K56"/>
  <c r="P56" s="1"/>
  <c r="K55"/>
  <c r="P55" s="1"/>
  <c r="K54"/>
  <c r="P54" s="1"/>
  <c r="K53"/>
  <c r="P53" s="1"/>
  <c r="K52"/>
  <c r="P52" s="1"/>
  <c r="K51"/>
  <c r="P51" s="1"/>
  <c r="K50"/>
  <c r="P50" s="1"/>
  <c r="K49"/>
  <c r="P49" s="1"/>
  <c r="K48"/>
  <c r="P48" s="1"/>
  <c r="K47"/>
  <c r="P47" s="1"/>
  <c r="K46"/>
  <c r="P46" s="1"/>
  <c r="K45"/>
  <c r="P45" s="1"/>
  <c r="K44"/>
  <c r="P44" s="1"/>
  <c r="K43"/>
  <c r="P43" s="1"/>
  <c r="K42"/>
  <c r="P42" s="1"/>
  <c r="K41"/>
  <c r="P41" s="1"/>
  <c r="K40"/>
  <c r="P40" s="1"/>
  <c r="K39"/>
  <c r="P39" s="1"/>
  <c r="K38"/>
  <c r="P38" s="1"/>
  <c r="K37"/>
  <c r="P37" s="1"/>
  <c r="K36"/>
  <c r="P36" s="1"/>
  <c r="K35"/>
  <c r="K34"/>
  <c r="P34" s="1"/>
  <c r="K33"/>
  <c r="P33" s="1"/>
  <c r="K32"/>
  <c r="P32" s="1"/>
  <c r="K31"/>
  <c r="P31" s="1"/>
  <c r="K30"/>
  <c r="P30" s="1"/>
  <c r="K29"/>
  <c r="P29" s="1"/>
  <c r="K28"/>
  <c r="P28" s="1"/>
  <c r="K27"/>
  <c r="P27" s="1"/>
  <c r="K26"/>
  <c r="P26" s="1"/>
  <c r="K25"/>
  <c r="P25" s="1"/>
  <c r="K24"/>
  <c r="P24" s="1"/>
  <c r="K23"/>
  <c r="P23" s="1"/>
  <c r="K22"/>
  <c r="P22" s="1"/>
  <c r="K21"/>
  <c r="P21" s="1"/>
  <c r="K20"/>
  <c r="P20" s="1"/>
  <c r="K19"/>
  <c r="P19" s="1"/>
  <c r="K18"/>
  <c r="P18" s="1"/>
  <c r="K17"/>
  <c r="P17" s="1"/>
  <c r="K16"/>
  <c r="P16" s="1"/>
  <c r="K15"/>
  <c r="P15" s="1"/>
  <c r="K14"/>
  <c r="P14" s="1"/>
  <c r="K13"/>
  <c r="P13" s="1"/>
  <c r="K12"/>
  <c r="P12" s="1"/>
  <c r="K11"/>
  <c r="K10"/>
  <c r="P10" s="1"/>
  <c r="K9"/>
  <c r="P9" s="1"/>
  <c r="K8"/>
  <c r="P8" s="1"/>
  <c r="K7"/>
  <c r="P7" s="1"/>
  <c r="K6"/>
  <c r="P6" s="1"/>
  <c r="K5"/>
  <c r="P5" s="1"/>
  <c r="K4"/>
  <c r="P4" s="1"/>
  <c r="K3"/>
  <c r="P3" s="1"/>
</calcChain>
</file>

<file path=xl/comments1.xml><?xml version="1.0" encoding="utf-8"?>
<comments xmlns="http://schemas.openxmlformats.org/spreadsheetml/2006/main">
  <authors>
    <author>Valeriya.Tulyakova</author>
  </authors>
  <commentList>
    <comment ref="C122" authorId="0">
      <text>
        <r>
          <rPr>
            <b/>
            <sz val="8"/>
            <color indexed="81"/>
            <rFont val="Tahoma"/>
            <family val="2"/>
            <charset val="204"/>
          </rPr>
          <t>Valeriya.Tulyakova:</t>
        </r>
        <r>
          <rPr>
            <sz val="8"/>
            <color indexed="81"/>
            <rFont val="Tahoma"/>
            <family val="2"/>
            <charset val="204"/>
          </rPr>
          <t xml:space="preserve">
этого не было, добавляла; 
еще добавила поле №п/п</t>
        </r>
      </text>
    </comment>
  </commentList>
</comments>
</file>

<file path=xl/sharedStrings.xml><?xml version="1.0" encoding="utf-8"?>
<sst xmlns="http://schemas.openxmlformats.org/spreadsheetml/2006/main" count="1523" uniqueCount="674">
  <si>
    <t>Название</t>
  </si>
  <si>
    <t>Поле (с.)</t>
  </si>
  <si>
    <t>Поле (н.)</t>
  </si>
  <si>
    <t>План</t>
  </si>
  <si>
    <t>1а</t>
  </si>
  <si>
    <t>Объем всего (км)</t>
  </si>
  <si>
    <t>OBRAB</t>
  </si>
  <si>
    <t>2.2</t>
  </si>
  <si>
    <t>Объем всего (шт. стр. пер.)</t>
  </si>
  <si>
    <t>3а</t>
  </si>
  <si>
    <t>в т.ч. на участках послеосадочного ремонта (км)</t>
  </si>
  <si>
    <t>В т.ч. ДМ</t>
  </si>
  <si>
    <t>В т.ч. ВПР</t>
  </si>
  <si>
    <t>В т.ч. на звен.пути</t>
  </si>
  <si>
    <t>В т.ч. на бесстыковом пути</t>
  </si>
  <si>
    <t>В т. ч. на уч-ках с пропущ. тоннажем до 300 млн</t>
  </si>
  <si>
    <t>В т. ч. на уч-ках с пропущ. тоннажем &gt; 300 млн</t>
  </si>
  <si>
    <t>в т.ч. с применением технологии ВПИ-Навигатор, всего км</t>
  </si>
  <si>
    <t>в т.ч. с применением технологии ВПИ-Навигатор, в т.ч. ДМ км</t>
  </si>
  <si>
    <t>в т.ч. УНИМАТ</t>
  </si>
  <si>
    <t>в т.ч. на главном пути</t>
  </si>
  <si>
    <t>OBRAB1</t>
  </si>
  <si>
    <t>OBRAB14</t>
  </si>
  <si>
    <t>OBRAB15</t>
  </si>
  <si>
    <t>OBRAB16</t>
  </si>
  <si>
    <t>OBRAB17</t>
  </si>
  <si>
    <t>OBRAB18</t>
  </si>
  <si>
    <t>OBRAB19</t>
  </si>
  <si>
    <t>постановка кривых в расчетное положение (шт)</t>
  </si>
  <si>
    <t>OBRAB2</t>
  </si>
  <si>
    <t>смена шпал (шт)</t>
  </si>
  <si>
    <t>смена дефектных рельсов (шт)</t>
  </si>
  <si>
    <t>устранение выплесков (п.м.пути)</t>
  </si>
  <si>
    <t>сварка стыков (шт.стык)</t>
  </si>
  <si>
    <t>шлифовка рельсов (км)</t>
  </si>
  <si>
    <t>накладки (шт)</t>
  </si>
  <si>
    <t>подкладки (шт)</t>
  </si>
  <si>
    <t>противоугоны (шт)</t>
  </si>
  <si>
    <t>болты стыковые с гайками (шт)</t>
  </si>
  <si>
    <t>прокладки под подкладки (т.шт)</t>
  </si>
  <si>
    <t>прокладки под подошву рельса (т.шт)</t>
  </si>
  <si>
    <t>OBRAB3</t>
  </si>
  <si>
    <t>OBRAB4</t>
  </si>
  <si>
    <t>OBRAB5</t>
  </si>
  <si>
    <t>OBRAB6</t>
  </si>
  <si>
    <t>OBRAB7</t>
  </si>
  <si>
    <t>OBRAB8</t>
  </si>
  <si>
    <t>OBRAB9</t>
  </si>
  <si>
    <t>OBRAB10</t>
  </si>
  <si>
    <t>OBRAB11</t>
  </si>
  <si>
    <t>OBRAB12</t>
  </si>
  <si>
    <t>OBRAB13</t>
  </si>
  <si>
    <t>В т.ч. ВПО</t>
  </si>
  <si>
    <t>В т. ч. ВПРС</t>
  </si>
  <si>
    <t>В т. ч. УНИМАТ</t>
  </si>
  <si>
    <t>Одиночная смена переводных брусьев (шт.)</t>
  </si>
  <si>
    <t>Костыли (тн)</t>
  </si>
  <si>
    <t>Шурупы (тн)</t>
  </si>
  <si>
    <t>Накладки (тн)</t>
  </si>
  <si>
    <t>Болты стыковые с гайками (тн)</t>
  </si>
  <si>
    <t>Прокладки КБ (тыс. шт.)</t>
  </si>
  <si>
    <t>Подкладки (тн)</t>
  </si>
  <si>
    <t>5а</t>
  </si>
  <si>
    <t>7а</t>
  </si>
  <si>
    <t>Скреплением КД (шт.кривых)</t>
  </si>
  <si>
    <t>Скреплением ДН6-185С (шт.кривых)</t>
  </si>
  <si>
    <t>cкреплением КД (шт.кривых)</t>
  </si>
  <si>
    <t>укладкой ж/б шпал (шт.кривых)</t>
  </si>
  <si>
    <t>8а</t>
  </si>
  <si>
    <t>Объем всего (км. пути)</t>
  </si>
  <si>
    <t>Объем всего (км. прохода)</t>
  </si>
  <si>
    <t>9а</t>
  </si>
  <si>
    <t>9.1</t>
  </si>
  <si>
    <t>10.1</t>
  </si>
  <si>
    <t>Объем всего (шт.)</t>
  </si>
  <si>
    <t>10.2а</t>
  </si>
  <si>
    <t>10.3а</t>
  </si>
  <si>
    <t>В т.ч. со сменой рабочего канта (км нити)</t>
  </si>
  <si>
    <t>Смена рельсов в прямых участках пути (км нити)</t>
  </si>
  <si>
    <t>В т.ч. с переменой рабочего канта (км нити)</t>
  </si>
  <si>
    <t>11</t>
  </si>
  <si>
    <t>В т.ч. сварка плетей длиной в блок-участок, стык</t>
  </si>
  <si>
    <t>В т.ч. сварка плетей длиной в перегон, стык</t>
  </si>
  <si>
    <t>В т.ч. ликвидация мест временного восстановления плетей, стык</t>
  </si>
  <si>
    <t>На участках работ комплексами путевых машин, стык</t>
  </si>
  <si>
    <t>Объем всего (стык)</t>
  </si>
  <si>
    <t>13а</t>
  </si>
  <si>
    <t>13б</t>
  </si>
  <si>
    <t>14</t>
  </si>
  <si>
    <t>Объем всего (тыс. шт.)</t>
  </si>
  <si>
    <t>Количество кустов, выявленных при осеннем осмотре , шт.</t>
  </si>
  <si>
    <t>Количество кустов, выявленных при осеннем осмотре, шт., главный путь</t>
  </si>
  <si>
    <t>15</t>
  </si>
  <si>
    <t>16</t>
  </si>
  <si>
    <t>17а</t>
  </si>
  <si>
    <t>22а1</t>
  </si>
  <si>
    <t>22а2</t>
  </si>
  <si>
    <t>22а3</t>
  </si>
  <si>
    <t>22а4</t>
  </si>
  <si>
    <t>22а5</t>
  </si>
  <si>
    <t>22а7</t>
  </si>
  <si>
    <t>22а8</t>
  </si>
  <si>
    <t>22а9</t>
  </si>
  <si>
    <t>23</t>
  </si>
  <si>
    <t>25.1</t>
  </si>
  <si>
    <t>Объем всего (компл.)</t>
  </si>
  <si>
    <t>В т.ч. композитные</t>
  </si>
  <si>
    <t>металлополимерные</t>
  </si>
  <si>
    <t>комбинированные</t>
  </si>
  <si>
    <t>Количество изостыков с композитными накладками, АпАТэк</t>
  </si>
  <si>
    <t>Количество изостыков с композитными накладками, Пластрон</t>
  </si>
  <si>
    <t>Количество изостыков с металлополимерными накладками, Гефест-Ростов</t>
  </si>
  <si>
    <t>Количество изостыков с металлополимерными накладками, ТрансПолимер-Пермь</t>
  </si>
  <si>
    <t>25.2</t>
  </si>
  <si>
    <t>25.3</t>
  </si>
  <si>
    <t>Объем всего(тыс.шт.)</t>
  </si>
  <si>
    <t>в т.ч. меднных (тыс. шт)</t>
  </si>
  <si>
    <t>в т.ч. стальных (тыс. шт)</t>
  </si>
  <si>
    <t>25.4</t>
  </si>
  <si>
    <t>Объем всего (тыс.шт.)</t>
  </si>
  <si>
    <t>25.5</t>
  </si>
  <si>
    <t>25.6</t>
  </si>
  <si>
    <t>25.7</t>
  </si>
  <si>
    <t>26</t>
  </si>
  <si>
    <t>25.8</t>
  </si>
  <si>
    <t>Объем всего (шт. мест)</t>
  </si>
  <si>
    <t>27</t>
  </si>
  <si>
    <t>28.1A4</t>
  </si>
  <si>
    <t>28.2A1</t>
  </si>
  <si>
    <t>Объем всего (км.)</t>
  </si>
  <si>
    <t>28.2A2</t>
  </si>
  <si>
    <t>28.2A3</t>
  </si>
  <si>
    <t>28.2A4</t>
  </si>
  <si>
    <t>28.2A5</t>
  </si>
  <si>
    <t>28.2A6</t>
  </si>
  <si>
    <t>28.2A7</t>
  </si>
  <si>
    <t>28.2A8</t>
  </si>
  <si>
    <t>28.2A9</t>
  </si>
  <si>
    <t>28.2A10</t>
  </si>
  <si>
    <t>28.2A11</t>
  </si>
  <si>
    <t>29а</t>
  </si>
  <si>
    <t>Объем всего (штук мес)</t>
  </si>
  <si>
    <t>Очистка порубочных остатков</t>
  </si>
  <si>
    <t>Уборка с/г шпал, тыс.шт.</t>
  </si>
  <si>
    <t>Вырубка древо-кустарниковой растительности, км.</t>
  </si>
  <si>
    <t>Опашка защитных лесонасаждений и лесного фонда и обновление минполосы, км.</t>
  </si>
  <si>
    <t>Подпись(ст)</t>
  </si>
  <si>
    <t>LIKE26</t>
  </si>
  <si>
    <t>LIKE29A</t>
  </si>
  <si>
    <t>Описание(ст)</t>
  </si>
  <si>
    <t>Описание(н)</t>
  </si>
  <si>
    <t>Адресный план усиления кривых R-1200 метров и менее</t>
  </si>
  <si>
    <t>Адресный план усиления кривых малого радиуса</t>
  </si>
  <si>
    <t>LIKE7A</t>
  </si>
  <si>
    <t>Адресный план по ограждению пути от выхода скота на путь на перегонах</t>
  </si>
  <si>
    <t>Адресный план работ по переездам (оборудование переездов специальными средствами сигнализации - маячок, сирена)</t>
  </si>
  <si>
    <t>Адресный план работ по капитальному ремонту УЗП</t>
  </si>
  <si>
    <t>LIKE24E</t>
  </si>
  <si>
    <t>LIKE23.5</t>
  </si>
  <si>
    <t>Адресный план установки соединителей рельсовых стыковых пружинных</t>
  </si>
  <si>
    <t>Адресный план установки шаберно-пружинных соединителей</t>
  </si>
  <si>
    <t>LIKE25.7</t>
  </si>
  <si>
    <t>Адресный план работ по обеспечению противопожарной безопасности в полосе отвода</t>
  </si>
  <si>
    <t>Объем всего (мест)</t>
  </si>
  <si>
    <t>ОТ</t>
  </si>
  <si>
    <t>СЧ</t>
  </si>
  <si>
    <t>ЩОМ</t>
  </si>
  <si>
    <t>Другие машины</t>
  </si>
  <si>
    <t>LIKE1A</t>
  </si>
  <si>
    <t>Адресный план выполнения выправки пути одиночными путевыми машинами</t>
  </si>
  <si>
    <t>LIKE2.2</t>
  </si>
  <si>
    <t>Адресный план планово-предупредительной выправки стрелочных переводов путевыми машинами</t>
  </si>
  <si>
    <t>LIKE3A</t>
  </si>
  <si>
    <t>Адресный план комплексной выправки кривых с постановкой их в расчетное положение</t>
  </si>
  <si>
    <t>LIKE4A</t>
  </si>
  <si>
    <t>Адресный план усиления закрестовинных, переводных кривых</t>
  </si>
  <si>
    <t>Адресный план шлифовки стрелочных переводов</t>
  </si>
  <si>
    <t>LIKE8.1A</t>
  </si>
  <si>
    <t>Адресный план шлифовки рельсов</t>
  </si>
  <si>
    <t>LIKE8A</t>
  </si>
  <si>
    <t>Адресный план закрепления рельсовых плетей бесстыкового пути машиной ПМГ</t>
  </si>
  <si>
    <t>LIKE9A</t>
  </si>
  <si>
    <t>Адресный план выполнения закрепления рельсовых плетей бесстыкового пути моторными гайковертами (без ПМГ)</t>
  </si>
  <si>
    <t>LIKE9.1</t>
  </si>
  <si>
    <t>Адресный план наплавки рельсовых концов</t>
  </si>
  <si>
    <t>LIKE10.1</t>
  </si>
  <si>
    <t>Адресный план смены дефектных рельсов</t>
  </si>
  <si>
    <t>LIKE10.2A</t>
  </si>
  <si>
    <t>Адресный план смены рельсов в кривых</t>
  </si>
  <si>
    <t>LIKE10.3A</t>
  </si>
  <si>
    <t>Адресный план по наплавке и науглероживанию крестовин</t>
  </si>
  <si>
    <t>LIKE11</t>
  </si>
  <si>
    <t>Адресный план по сварке рельсовых плетей машинами ПРСМ</t>
  </si>
  <si>
    <t>LIKE13A</t>
  </si>
  <si>
    <t>Адресный план по сварке рельсовых плетей алюминотермитным способом</t>
  </si>
  <si>
    <t>LIKE13B</t>
  </si>
  <si>
    <t>Адресный план планово-предупредительной выправки пути комплексами путевых машин</t>
  </si>
  <si>
    <t>Адресный план одиночной укладки новых деревянных шпал</t>
  </si>
  <si>
    <t>LIKE14</t>
  </si>
  <si>
    <t>Адресный план одиночной укладки старогодных деревянных шпал</t>
  </si>
  <si>
    <t>LIKE15</t>
  </si>
  <si>
    <t>Адресный план одиночной укладки старогодных железобетонных шпал</t>
  </si>
  <si>
    <t>LIKE16</t>
  </si>
  <si>
    <t>Адресный план по установке путевых (стационарных) лубрикаторов</t>
  </si>
  <si>
    <t>LIKE17A</t>
  </si>
  <si>
    <t>Адресный план выполнения работ по устранению локальных выплесков путевыми машинами (на текущем содержании)</t>
  </si>
  <si>
    <t>LIKE30</t>
  </si>
  <si>
    <t>Адресный план работ по обработке пути и полосы отвода от травянистой растительности и ДКР</t>
  </si>
  <si>
    <t>Адресный план оздоровления пути на решающих станциях: капитальный ремонт пути с укладкой с/г ж/б решетки</t>
  </si>
  <si>
    <t>LIKE22A1</t>
  </si>
  <si>
    <t>Адресный план оздоровления пути на решающих станциях: средний ремонт пути</t>
  </si>
  <si>
    <t>LIKE22A2</t>
  </si>
  <si>
    <t>Адресный план оздоровления пути на решающих станциях: подъемочный ремонт пути</t>
  </si>
  <si>
    <t>LIKE22A3</t>
  </si>
  <si>
    <t>Адресный план оздоровления пути на решающих станциях: смена рельсов старогодными</t>
  </si>
  <si>
    <t>LIKE22A4</t>
  </si>
  <si>
    <t>Адресный план оздоровления пути на решающих станциях: смена стрелочных переводов</t>
  </si>
  <si>
    <t>LIKE22A5</t>
  </si>
  <si>
    <t>Адресный план оздоровления пути на решающих станциях: смена переводного бруса</t>
  </si>
  <si>
    <t>LIKE22A6</t>
  </si>
  <si>
    <t>Адресный план оздоровления пути на решающих станциях: приведение профилей горок к проектному положению</t>
  </si>
  <si>
    <t>LIKE22A7</t>
  </si>
  <si>
    <t>Адресный план оздоровления пути на решающих станциях: выправка профилей полугорок,вытяжных путей</t>
  </si>
  <si>
    <t>LIKE22A8</t>
  </si>
  <si>
    <t>Адресный план оздоровления пути на решающих станциях: ремонт водоотводов</t>
  </si>
  <si>
    <t>LIKE22A9</t>
  </si>
  <si>
    <t>Адресный план замены переходных накладок рельсами</t>
  </si>
  <si>
    <t>Адресный план противоаварийных работ. Замена переходных накладок рельсами</t>
  </si>
  <si>
    <t>LIKE23</t>
  </si>
  <si>
    <t>Адресный план противоаварийных работ. Вынос стрелочных переводов из кривых</t>
  </si>
  <si>
    <t>Адресный план противоаварийных работ (вынос стрелочных переводов из кривых)</t>
  </si>
  <si>
    <t>LIKE23B</t>
  </si>
  <si>
    <t>Адресный план противоаварийных работ. Капитальный ремонт УЗП (модернизация)</t>
  </si>
  <si>
    <t>Капитальный ремонт УЗП (модернизация)</t>
  </si>
  <si>
    <t xml:space="preserve">Адресный план асфальтировки проезжей части, укладка </t>
  </si>
  <si>
    <t>Адресный план противоаварийных работ. Асфальтировка проезжей части, укладка настила</t>
  </si>
  <si>
    <t>LIKE23.3</t>
  </si>
  <si>
    <t>Адресный план работ по переездам (капитальный ремонт)</t>
  </si>
  <si>
    <t>LIKE24A</t>
  </si>
  <si>
    <t>Адресный план работ по переездам (оборудование переездов устройсвами АПС)</t>
  </si>
  <si>
    <t>LIKE24B</t>
  </si>
  <si>
    <t>Адресный план работ по переездам (укладка резинокордового настила)</t>
  </si>
  <si>
    <t>LIKE24V</t>
  </si>
  <si>
    <t>Адресный план работ по переездам ( модернизации АПС)</t>
  </si>
  <si>
    <t>LIKE24G</t>
  </si>
  <si>
    <t>Адресный план работ по переездам (закрытие переездов)</t>
  </si>
  <si>
    <t>LIKE24D</t>
  </si>
  <si>
    <t>Адресный план работ по переездам (оборудование переездов шлагбаумами ПАШ)</t>
  </si>
  <si>
    <t>LIKE24ZH</t>
  </si>
  <si>
    <t>Адресный план работ по переездам (оборудование переездов телефонной связью с ГИБДД)</t>
  </si>
  <si>
    <t>LIKE24Z</t>
  </si>
  <si>
    <t>Адресный план работ по переездам (строительства путепроводов)</t>
  </si>
  <si>
    <t>LIKE24I</t>
  </si>
  <si>
    <t>Адресный план работ по переездам (оборудование переездов устройсвами УЗП)</t>
  </si>
  <si>
    <t>LIKE24K</t>
  </si>
  <si>
    <t>Адресный план по переездам (улучшение электроснабжения переездов)</t>
  </si>
  <si>
    <t>LIKE24L</t>
  </si>
  <si>
    <t>Адресный план работ по переездам (улучшение электроосвещения переездов)</t>
  </si>
  <si>
    <t>LIKE24M</t>
  </si>
  <si>
    <t>Адресный план работ по переездам (внедрение светофорных головок на светоизлучающих диодах)</t>
  </si>
  <si>
    <t>LIKE24N</t>
  </si>
  <si>
    <t>Адресный план укладки композитных накладок</t>
  </si>
  <si>
    <t>LIKE25.1</t>
  </si>
  <si>
    <t>Адресный план работ по подрезке балласта</t>
  </si>
  <si>
    <t>LIKE25.2</t>
  </si>
  <si>
    <t>Адресный план приварки рельсовых соединителей</t>
  </si>
  <si>
    <t>LIKE25.3</t>
  </si>
  <si>
    <t>Адресный план установки штепсельных соединителей</t>
  </si>
  <si>
    <t>LIKE25.4</t>
  </si>
  <si>
    <t>Адресный план установки тарельчатых пружин</t>
  </si>
  <si>
    <t>LIKE25.5</t>
  </si>
  <si>
    <t>Адресный план установки пружинных соединителей</t>
  </si>
  <si>
    <t>LIKE25.6</t>
  </si>
  <si>
    <t>Адресный план комплексной проверки изостыков</t>
  </si>
  <si>
    <t>LIKE25.8</t>
  </si>
  <si>
    <t>Адресный план оздоровления пути на участках, где приказом начальника дороги ограничена скорость движения для грузовых поездов, имеющих в своем составе порожние вагоны</t>
  </si>
  <si>
    <t>Адресный план оздоровления горловин станций: вынос стрелочных переводов из кривых участков пути</t>
  </si>
  <si>
    <t>Адресный план выполнения работ по оздоровлению станционных путей 4, 5 классов. Вынос стрелочных переводов из кривых участков пути</t>
  </si>
  <si>
    <t>LIKE28.1A2</t>
  </si>
  <si>
    <t>Адресный план оздоровления горловин станций: смена стрелочных переводов на более тяжелый тип</t>
  </si>
  <si>
    <t>Адресный план выполнения работ по оздоровлению станционных путей 4, 5 классов. Смена стрелочных переводов на более тяжелый тип</t>
  </si>
  <si>
    <t>LIKE28.1A3</t>
  </si>
  <si>
    <t>Адресный план оздоровления горловин станций: смена стрелочных переводов</t>
  </si>
  <si>
    <t>LIKE28.1A4</t>
  </si>
  <si>
    <t>Адресный план оздоровления горловин станций: смена переводных брусьев</t>
  </si>
  <si>
    <t>Адресный план выполнения работ по оздоровлению станционных путей 4, 5 классов. Смена переводных брусьев</t>
  </si>
  <si>
    <t>LIKE28.1A5</t>
  </si>
  <si>
    <t>Адресный план оздоровления горловин станций: смена рельсов на межстрелочных участках новыми</t>
  </si>
  <si>
    <t>Адресный план выполнения работ по оздоровлению станционных путей 4, 5 классов. Смена рельсов на межстрелочных участках новыми</t>
  </si>
  <si>
    <t>LIKE28.1A6</t>
  </si>
  <si>
    <t>Адресный план оздоровления горловин станций: смена рельсов на межстрелочных участках старогодными</t>
  </si>
  <si>
    <t>Адресный план выполнения работ по оздоровлению станционных путей 4, 5 классов. Смена рельсов на межстрелочных участках старогодными</t>
  </si>
  <si>
    <t>LIKE28.1A7</t>
  </si>
  <si>
    <t>Адресный план оздоровления станционных путей: капитальный ремонт пути с укладкой с/г ж/б решетки</t>
  </si>
  <si>
    <t>Адресный план выполнения работ по оздоровлению станционных путей 4, 5 классов. Капитальный ремонт на с/г рельсах</t>
  </si>
  <si>
    <t>LIKE28.2A1</t>
  </si>
  <si>
    <t>Адресный план оздоровления станционных путей: средний ремонт пути</t>
  </si>
  <si>
    <t>LIKE28.2A2</t>
  </si>
  <si>
    <t>LIKE28.2A3</t>
  </si>
  <si>
    <t>LIKE28.2A4</t>
  </si>
  <si>
    <t>LIKE28.2A5</t>
  </si>
  <si>
    <t>LIKE28.2A6</t>
  </si>
  <si>
    <t>LIKE28.2A7</t>
  </si>
  <si>
    <t>LIKE28.2A8</t>
  </si>
  <si>
    <t>LIKE28.2A9</t>
  </si>
  <si>
    <t>Адресный план выполнения работ по оздоровлению станционных путей 4, 5 классов. Средний ремонт</t>
  </si>
  <si>
    <t>Адресный план оздоровления станционных путей: подъемочный ремонт пути</t>
  </si>
  <si>
    <t>Адресный план выполнения работ по оздоровлению станционных путей 4, 5 классов. Подъемочный ремонт пути</t>
  </si>
  <si>
    <t>Адресный план оздоровления станционных путей: Смена рельсов старогодными</t>
  </si>
  <si>
    <t>Адресный план выполнения работ по оздоровлению станционных путей 4, 5 классов. Смена рельсов старогодными</t>
  </si>
  <si>
    <t>Адресный план оздоровления станционных путей: одиночная смена деревянных шпал</t>
  </si>
  <si>
    <t>Адресный план выполнения работ по оздоровлению станционных путей 4, 5 классов. Одиночная смена деревянных шпал</t>
  </si>
  <si>
    <t>Адресный план оздоровления станционных путей: одиночная смена железобетонных шпал</t>
  </si>
  <si>
    <t>Адресный план выполнения работ по оздоровлению станционных путей 4, 5 классов. Одиночная смена железобетонных шпал</t>
  </si>
  <si>
    <t>Адресный план оздоровления станционных путей: планово-предупредительная выправка пути комплексами машин</t>
  </si>
  <si>
    <t>Адресный план выполнения работ по оздоровлению станционных путей 4, 5 классов. Планово-предупредительная выправка пути комплексами машин</t>
  </si>
  <si>
    <t>Адресный план оздоровления станционных путей: выправка пути одиночными машинами</t>
  </si>
  <si>
    <t>Адресный план выполнения работ по оздоровлению станционных путей 4, 5 классов. Выправка пути одиночными машинами</t>
  </si>
  <si>
    <t>Адресный план оздоровления станционных путей: устранение локальных выплесков путевыми машинами</t>
  </si>
  <si>
    <t>Адресный план выполнения работ по оздоровлению станционных путей 4, 5 классов. Устранение локальных выплесков путевыми машинами</t>
  </si>
  <si>
    <t>Адресный план оздоровления станционных путей: выправка профилей горок,полугорок,вытяжных путей</t>
  </si>
  <si>
    <t>LIKE28.2A10</t>
  </si>
  <si>
    <t>LIKE28.2A11</t>
  </si>
  <si>
    <t>Адресный план выполнения работ по оздоровлению станционных путей 4, 5 классов. Выправка профилей путей</t>
  </si>
  <si>
    <t>Адресный план оздоровления станционных путей: ремонт водоотводов</t>
  </si>
  <si>
    <t>Адресный план выполнения работ по оздоровлению станционных путей 4, 5 классов. Ремонт водоотводов</t>
  </si>
  <si>
    <t>Адресный план работ по ограждению пути от выхода скота на путь на перегонах</t>
  </si>
  <si>
    <t>Адресный план оздоровления путевого хозяйства на участках пути цехов текущего отцепочного ремонт (ТОР). Одиночная смена рельсов</t>
  </si>
  <si>
    <t>LIKE31</t>
  </si>
  <si>
    <t>Адресный план оздоровления путевого хозяйства на участках пути цехов текущего отцепочного ремонт (ТОР). Смена скреплений</t>
  </si>
  <si>
    <t>Адресный план оздоровления путевого хозяйства на участках пути цехов текущего отцепочного ремонт (ТОР). Регулировка зазоров</t>
  </si>
  <si>
    <t>Адресный план оздоровления путевого хозяйства на участках пути цехов текущего отцепочного ремонт (ТОР). Регулировка ширины колеи</t>
  </si>
  <si>
    <t>Адресный план оздоровления путевого хозяйства на участках пути цехов текущего отцепочного ремонт (ТОР). Смена крестовин</t>
  </si>
  <si>
    <t>Адресный план оздоровления путевого хозяйства на участках пути цехов текущего отцепочного ремонт (ТОР). Смена ремкомплектов</t>
  </si>
  <si>
    <t>Опции подписи</t>
  </si>
  <si>
    <t>PMPLAN01</t>
  </si>
  <si>
    <t>PMPLAN02</t>
  </si>
  <si>
    <t>PMPLAN03</t>
  </si>
  <si>
    <t>PMPLAN04</t>
  </si>
  <si>
    <t>PMPLAN05</t>
  </si>
  <si>
    <t>PMPLAN06</t>
  </si>
  <si>
    <t>PMPLAN07</t>
  </si>
  <si>
    <t>PMPLAN08</t>
  </si>
  <si>
    <t>PMPLAN09</t>
  </si>
  <si>
    <t>PMPLAN10</t>
  </si>
  <si>
    <t>PMPLAN11</t>
  </si>
  <si>
    <t>PMPLAN12</t>
  </si>
  <si>
    <t>PMPLAN13</t>
  </si>
  <si>
    <t>PMPLAN14</t>
  </si>
  <si>
    <t>PMPLAN15</t>
  </si>
  <si>
    <t>PMPLAN16</t>
  </si>
  <si>
    <t>PMPLAN17</t>
  </si>
  <si>
    <t>PMPLAN18</t>
  </si>
  <si>
    <t>PMPLAN19</t>
  </si>
  <si>
    <t>PMPLAN20</t>
  </si>
  <si>
    <t>PMPLAN21</t>
  </si>
  <si>
    <t>PMPLAN22</t>
  </si>
  <si>
    <t>PMPLAN23</t>
  </si>
  <si>
    <t>PMPLAN24</t>
  </si>
  <si>
    <t>PMPLAN25</t>
  </si>
  <si>
    <t>PMPLAN26</t>
  </si>
  <si>
    <t>PMPLAN27</t>
  </si>
  <si>
    <t>PMPLAN28</t>
  </si>
  <si>
    <t>PMPLAN29</t>
  </si>
  <si>
    <t>PMPLAN30</t>
  </si>
  <si>
    <t>PMPLAN31</t>
  </si>
  <si>
    <t>PMPLAN32</t>
  </si>
  <si>
    <t>PMPLAN33</t>
  </si>
  <si>
    <t>PMPLAN34</t>
  </si>
  <si>
    <t>PMPLAN35</t>
  </si>
  <si>
    <t>PMPLAN36</t>
  </si>
  <si>
    <t>PMPLAN37</t>
  </si>
  <si>
    <t>PMPLAN38</t>
  </si>
  <si>
    <t>PMPLAN39</t>
  </si>
  <si>
    <t>PMPLAN40</t>
  </si>
  <si>
    <t>PMPLAN41</t>
  </si>
  <si>
    <t>PMPLAN42</t>
  </si>
  <si>
    <t>PMPLAN43</t>
  </si>
  <si>
    <t>PMPLAN44</t>
  </si>
  <si>
    <t>PMPLAN45</t>
  </si>
  <si>
    <t>PMPLAN46</t>
  </si>
  <si>
    <t>PMPLAN47</t>
  </si>
  <si>
    <t>PMPLAN48</t>
  </si>
  <si>
    <t>PMPLAN49</t>
  </si>
  <si>
    <t>PMPLAN50</t>
  </si>
  <si>
    <t>PMPLAN51</t>
  </si>
  <si>
    <t>PMPLAN52</t>
  </si>
  <si>
    <t>PMPLAN53</t>
  </si>
  <si>
    <t>PMPLAN54</t>
  </si>
  <si>
    <t>PMPLAN55</t>
  </si>
  <si>
    <t>PMPLAN56</t>
  </si>
  <si>
    <t>PMPLAN57</t>
  </si>
  <si>
    <t>PMPLAN58</t>
  </si>
  <si>
    <t>PMPLAN59</t>
  </si>
  <si>
    <t>PMPLAN60</t>
  </si>
  <si>
    <t>PMPLAN61</t>
  </si>
  <si>
    <t>PMPLAN62</t>
  </si>
  <si>
    <t>PMPLAN63</t>
  </si>
  <si>
    <t>PMPLAN64</t>
  </si>
  <si>
    <t>PMPLAN65</t>
  </si>
  <si>
    <t>PMPLAN66</t>
  </si>
  <si>
    <t>PMPLAN67</t>
  </si>
  <si>
    <t>PMPLAN68</t>
  </si>
  <si>
    <t>PMPLAN69</t>
  </si>
  <si>
    <t>PMPLAN70</t>
  </si>
  <si>
    <t>PMPLAN71</t>
  </si>
  <si>
    <t>PMPLAN72</t>
  </si>
  <si>
    <t>PMPLAN73</t>
  </si>
  <si>
    <t>PMPLAN74</t>
  </si>
  <si>
    <t>PMPLAN75</t>
  </si>
  <si>
    <t>PMPLAN76</t>
  </si>
  <si>
    <t>PMPLAN77</t>
  </si>
  <si>
    <t>PMPLAN78</t>
  </si>
  <si>
    <t>PMPLAN79</t>
  </si>
  <si>
    <t>PMPLAN80</t>
  </si>
  <si>
    <t>PMPLAN81</t>
  </si>
  <si>
    <t>PMPLAN82</t>
  </si>
  <si>
    <t>Классификации</t>
  </si>
  <si>
    <t>090000070376</t>
  </si>
  <si>
    <t>090000070799</t>
  </si>
  <si>
    <t>090000070802</t>
  </si>
  <si>
    <t>090000070804</t>
  </si>
  <si>
    <t>090000070806</t>
  </si>
  <si>
    <t>090000070808</t>
  </si>
  <si>
    <t>090000070811</t>
  </si>
  <si>
    <t>090000070815</t>
  </si>
  <si>
    <t>090000070813</t>
  </si>
  <si>
    <t>090000070817</t>
  </si>
  <si>
    <t>090000074801</t>
  </si>
  <si>
    <t>090000070819</t>
  </si>
  <si>
    <t>090000070823</t>
  </si>
  <si>
    <t>090000070824</t>
  </si>
  <si>
    <t>090000070826</t>
  </si>
  <si>
    <t>090000070831</t>
  </si>
  <si>
    <t>090000070832</t>
  </si>
  <si>
    <t>090000070833</t>
  </si>
  <si>
    <t>090000070834</t>
  </si>
  <si>
    <t>090000070835</t>
  </si>
  <si>
    <t>090000070837</t>
  </si>
  <si>
    <t>090000070848</t>
  </si>
  <si>
    <t>090000070851</t>
  </si>
  <si>
    <t>090000070850</t>
  </si>
  <si>
    <t>090000070852</t>
  </si>
  <si>
    <t>090000070853</t>
  </si>
  <si>
    <t>090000070854</t>
  </si>
  <si>
    <t>090000074834</t>
  </si>
  <si>
    <t>090000070881</t>
  </si>
  <si>
    <t>090000070872</t>
  </si>
  <si>
    <t>090000070883</t>
  </si>
  <si>
    <t>090000070884</t>
  </si>
  <si>
    <t>090000070885</t>
  </si>
  <si>
    <t>090000070886</t>
  </si>
  <si>
    <t>090000070887</t>
  </si>
  <si>
    <t>090000070888</t>
  </si>
  <si>
    <t>090000070889</t>
  </si>
  <si>
    <t>090000070890</t>
  </si>
  <si>
    <t>090000070891</t>
  </si>
  <si>
    <t>090000074825</t>
  </si>
  <si>
    <t>090000074833</t>
  </si>
  <si>
    <t>090000070856</t>
  </si>
  <si>
    <t>090000070857</t>
  </si>
  <si>
    <t>090000070858</t>
  </si>
  <si>
    <t>090000070859</t>
  </si>
  <si>
    <t>090000070860</t>
  </si>
  <si>
    <t>090000070861</t>
  </si>
  <si>
    <t>090000070862</t>
  </si>
  <si>
    <t>090000070864</t>
  </si>
  <si>
    <t>090000070865</t>
  </si>
  <si>
    <t>090000070866</t>
  </si>
  <si>
    <t>090000070867</t>
  </si>
  <si>
    <t>090000070868</t>
  </si>
  <si>
    <t>090000070869</t>
  </si>
  <si>
    <t>090000070870</t>
  </si>
  <si>
    <t>090000070871</t>
  </si>
  <si>
    <t>090000070874</t>
  </si>
  <si>
    <t>090000070893</t>
  </si>
  <si>
    <t>090000070894</t>
  </si>
  <si>
    <t>090000070895</t>
  </si>
  <si>
    <t>090000070896</t>
  </si>
  <si>
    <t>090000070897</t>
  </si>
  <si>
    <t>090000070898</t>
  </si>
  <si>
    <t>090000070899</t>
  </si>
  <si>
    <t>090000070900</t>
  </si>
  <si>
    <t>090000070901</t>
  </si>
  <si>
    <t>090000070902</t>
  </si>
  <si>
    <t>090000070903</t>
  </si>
  <si>
    <t>090000070904</t>
  </si>
  <si>
    <t>090000070906</t>
  </si>
  <si>
    <t>090000070905</t>
  </si>
  <si>
    <t>090000070907</t>
  </si>
  <si>
    <t>090000070908</t>
  </si>
  <si>
    <t>090000070909</t>
  </si>
  <si>
    <t>090000070855</t>
  </si>
  <si>
    <t>090000087800</t>
  </si>
  <si>
    <t>090000087801</t>
  </si>
  <si>
    <t>090000087802</t>
  </si>
  <si>
    <t>090000087803</t>
  </si>
  <si>
    <t>090000087804</t>
  </si>
  <si>
    <t>090000087805</t>
  </si>
  <si>
    <t>090000087806</t>
  </si>
  <si>
    <t>LIKE5A</t>
  </si>
  <si>
    <t>LIKE27A</t>
  </si>
  <si>
    <t>CONDITIONNUM</t>
  </si>
  <si>
    <t>LIKE5AMPM</t>
  </si>
  <si>
    <t>LIKE13AMPM</t>
  </si>
  <si>
    <t>ВЫРАЖЕНИЕ</t>
  </si>
  <si>
    <t>:namerab1 = '090000070831'</t>
  </si>
  <si>
    <t>LIKE13BMPM</t>
  </si>
  <si>
    <t>:namerab1 = '090000070832'</t>
  </si>
  <si>
    <t>LIKE14MPM</t>
  </si>
  <si>
    <t>:namerab1 = '090000070833'</t>
  </si>
  <si>
    <t>LIKE1AMPM</t>
  </si>
  <si>
    <t>:namerab1 = '090000070799'</t>
  </si>
  <si>
    <t>LIKE25.1MPM</t>
  </si>
  <si>
    <t>:namerab1 = '090000070864'</t>
  </si>
  <si>
    <t>LIKE25.2MPM</t>
  </si>
  <si>
    <t>:namerab1 = '090000070865'</t>
  </si>
  <si>
    <t>LIKE25.3MPM</t>
  </si>
  <si>
    <t>:namerab1 = '090000070866'</t>
  </si>
  <si>
    <t>LIKE25.4MPM</t>
  </si>
  <si>
    <t>:namerab1 = '090000070867'</t>
  </si>
  <si>
    <t>LIKE25.6MPM</t>
  </si>
  <si>
    <t>:namerab1 = '090000070869'</t>
  </si>
  <si>
    <t>LIKE29AMPM</t>
  </si>
  <si>
    <t>:namerab1 = '090000070376'</t>
  </si>
  <si>
    <t>LIKE3AMPM</t>
  </si>
  <si>
    <t>:namerab1 = '090000070804'</t>
  </si>
  <si>
    <t>LIKE4AMPM</t>
  </si>
  <si>
    <t>:namerab1 = '090000070806'</t>
  </si>
  <si>
    <t>:namerab1 = '090000070808'</t>
  </si>
  <si>
    <t>LIKE7AMPM</t>
  </si>
  <si>
    <t>:namerab1 = '090000070811'</t>
  </si>
  <si>
    <t>LIKE8AMPM</t>
  </si>
  <si>
    <t>:namerab1 = '090000070813'</t>
  </si>
  <si>
    <t>LIKE9AMPM</t>
  </si>
  <si>
    <t>:namerab1 = '090000070817'</t>
  </si>
  <si>
    <t>TYPE</t>
  </si>
  <si>
    <t>EXPRESSION</t>
  </si>
  <si>
    <t>DESCRIPTION</t>
  </si>
  <si>
    <t>для плана 8.1А</t>
  </si>
  <si>
    <t>MPMPLAN01</t>
  </si>
  <si>
    <t>MPMPLAN02</t>
  </si>
  <si>
    <t>MPMPLAN03</t>
  </si>
  <si>
    <t>MPMPLAN04</t>
  </si>
  <si>
    <t>MPMPLAN05</t>
  </si>
  <si>
    <t>MPMPLAN06</t>
  </si>
  <si>
    <t>MPMPLAN07</t>
  </si>
  <si>
    <t>MPMPLAN08</t>
  </si>
  <si>
    <t>MPMPLAN09</t>
  </si>
  <si>
    <t>MPMPLAN10</t>
  </si>
  <si>
    <t>MPMPLAN11</t>
  </si>
  <si>
    <t>MPMPLAN12</t>
  </si>
  <si>
    <t>MPMPLAN13</t>
  </si>
  <si>
    <t>MPMPLAN14</t>
  </si>
  <si>
    <t>MPMPLAN15</t>
  </si>
  <si>
    <t>MPMPLAN16</t>
  </si>
  <si>
    <t>MPMPLAN17</t>
  </si>
  <si>
    <t>MPMPLAN18</t>
  </si>
  <si>
    <t>для плана 9.1</t>
  </si>
  <si>
    <t>для плана 10.1</t>
  </si>
  <si>
    <t>MPMPLAN19</t>
  </si>
  <si>
    <t>для плана 11</t>
  </si>
  <si>
    <t>MPMPLAN20</t>
  </si>
  <si>
    <t>для плана 20</t>
  </si>
  <si>
    <t>MPMPLAN21</t>
  </si>
  <si>
    <t>Общий объем работ, км</t>
  </si>
  <si>
    <t>для плана 21</t>
  </si>
  <si>
    <t>MPMPLAN22</t>
  </si>
  <si>
    <t>MPMPLAN23</t>
  </si>
  <si>
    <t>для плана 26</t>
  </si>
  <si>
    <t>Вид ограждения</t>
  </si>
  <si>
    <t>Наличие участков, штук мест</t>
  </si>
  <si>
    <t>Наличие участков, км</t>
  </si>
  <si>
    <t>Из них оборудованных ограждением, штук мест</t>
  </si>
  <si>
    <t>Из них оборудованных ограждением, км</t>
  </si>
  <si>
    <t>4a</t>
  </si>
  <si>
    <t>Смена рельсов в кривых (км нити)</t>
  </si>
  <si>
    <t>Опция отображения шапки годового плана</t>
  </si>
  <si>
    <t xml:space="preserve"> </t>
  </si>
  <si>
    <t>в т.ч. с применением технологии ВПИ-Навигатор, всего, км.</t>
  </si>
  <si>
    <t>Классификция</t>
  </si>
  <si>
    <t>20</t>
  </si>
  <si>
    <t>21</t>
  </si>
  <si>
    <t>Parent</t>
  </si>
  <si>
    <t>CLASSIFICATIONID</t>
  </si>
  <si>
    <t>Адресный план профилактических мероприятий, направленных на повышение надежности работы рельсовых путей. Укладка бесстыкового пути</t>
  </si>
  <si>
    <t>PMPLAN83</t>
  </si>
  <si>
    <t>Объем по наплавке крестовин, всего (шт.)</t>
  </si>
  <si>
    <t>Объем по науглероживанию крестовин, всего (шт.)</t>
  </si>
  <si>
    <t>:namerab1 = '090000070815'</t>
  </si>
  <si>
    <t>:namerab1 = '090000074801'</t>
  </si>
  <si>
    <t>:namerab1 = '090000070819'</t>
  </si>
  <si>
    <t>:namerab1 = '090000070826'</t>
  </si>
  <si>
    <t>:namerab1 = '090000070881'</t>
  </si>
  <si>
    <t>:namerab1 = '090000070872'</t>
  </si>
  <si>
    <t>:namerab1 = '090000087800'</t>
  </si>
  <si>
    <t>090000070892</t>
  </si>
  <si>
    <t>PMPLAN84</t>
  </si>
  <si>
    <t>Адресный план выполнения работ по оздоровлению станционных путей 4, 5 классов. Замена обыкновенных стрелочных переводов, лежащих в кривых участках пути, на сертифицированные стрелочные переводы типа Р65 марки 1/11 на деревянных или железобетонных брусьях, предназначенных для укладки в кривых радиусами 600 м и 900 м проектов 2802, 2851, 2878, 2901</t>
  </si>
  <si>
    <t>LIKE28.1A1</t>
  </si>
  <si>
    <t>Адресный план оздоровления горловин станций: замена обыкновенных стрелочных переводов, лежащих в кривых участках пути, на сертифицированные стрелочные переводы типа Р65 марки 1/11 на деревянных или железобетонных брусьях, предназначенных для укладки в кривых радиусами 600 м и 900 м проектов 2802, 2851, 2878, 2901</t>
  </si>
  <si>
    <t>В т.ч. с применением технологии "ВПИ-Навигатор"</t>
  </si>
  <si>
    <t>Адресный план выполнения работ по оздоровлению станционных путей 4, 5 классов. Смена стрелочных переводов с/г</t>
  </si>
  <si>
    <t>MPMPLAN24</t>
  </si>
  <si>
    <t>:namerab1 = '090000070895'</t>
  </si>
  <si>
    <t>план 28.1А4</t>
  </si>
  <si>
    <t>Объем всего, деревянные (компл.)</t>
  </si>
  <si>
    <t>Объем всего, ж/б (компл.)</t>
  </si>
  <si>
    <t>план 28.2А9</t>
  </si>
  <si>
    <t>:namerab1 = '090000070907'</t>
  </si>
  <si>
    <t>MPMPLAN25</t>
  </si>
  <si>
    <t>PVOLUMEDESC1</t>
  </si>
  <si>
    <t>:namerab1 in ('090000070802',	'090000070883',	'090000070884',	'090000070885',	'090000070886',	'090000070889',	'090000070890',	'090000070891',	'090000070874',	'090000070899',	'090000070900',	'090000070901',	'090000070902',	'090000070905',	'090000070906', '090000070907',	'090000070908',	'090000070909',	'090000087800', '090000087807')</t>
  </si>
  <si>
    <t>PVOLUMEDESC3</t>
  </si>
  <si>
    <t>:namerab1 in ('090000070823',	'090000070837',	'090000074833',	'090000074834',	'090000074825',	'090000070850',	'090000070851',	'090000070852',	'090000070853',	'090000070854',	'090000070855',	'090000070856',	'090000070857',	'090000070858',	'090000070859',	'090000070860',	'090000070861',	'090000070862',	'090000087801',	'090000087802',	'090000087803',	'090000087804',	'090000087805',	'090000087806',	'090000070903',	'090000070904', '090000070907')</t>
  </si>
  <si>
    <t>Общий объем работ, шт.</t>
  </si>
  <si>
    <t>PVOLUMEDESC4</t>
  </si>
  <si>
    <t>:namerab1 in ('090000070833',	'090000070834',	'090000070835',	'090000070868',	'090000070870',	'090000070871')</t>
  </si>
  <si>
    <t>Общий объем работ, тыс.шт.</t>
  </si>
  <si>
    <t>PVOLUMEDESC5</t>
  </si>
  <si>
    <t>:namerab1 in ('090000070888',	'090000070887',	'090000070848',	'090000070893',	'090000070897', '090000070892')</t>
  </si>
  <si>
    <t>Общий объем работ, шт. стр. пер.</t>
  </si>
  <si>
    <t>PVOLUMEDESC6</t>
  </si>
  <si>
    <t>:namerab1 in ('090000070894', '090000070896')</t>
  </si>
  <si>
    <t>Общий объем работ, компл.</t>
  </si>
  <si>
    <t>PVOLUMEDESC7</t>
  </si>
  <si>
    <t>:namerab1 in ('090000070898')</t>
  </si>
  <si>
    <t>Общий объем работ, км. пути</t>
  </si>
  <si>
    <t>MPMPLAN</t>
  </si>
  <si>
    <t>Общий объем для работ без детализации объема</t>
  </si>
  <si>
    <t>PVALUMEDESC</t>
  </si>
  <si>
    <t>Описание общего объема</t>
  </si>
  <si>
    <t>24в</t>
  </si>
  <si>
    <t>Количество комплектов</t>
  </si>
  <si>
    <t>Добавить вкладку "Состояние пути". Во вкладку добавить поля "количество неуд. км", "Количество неисправностей 2/3 степени"</t>
  </si>
  <si>
    <t>PMOBRAB01</t>
  </si>
  <si>
    <t>PMOBRAB02</t>
  </si>
  <si>
    <t>PMOBRAB03</t>
  </si>
  <si>
    <t>PMOBRAB04</t>
  </si>
  <si>
    <t>PMOBRAB05</t>
  </si>
  <si>
    <t>PMOBRAB06</t>
  </si>
  <si>
    <t>PMOBRAB07</t>
  </si>
  <si>
    <t>PMOBRAB08</t>
  </si>
  <si>
    <t>PMOBRAB09</t>
  </si>
  <si>
    <t>PMOBRAB10</t>
  </si>
  <si>
    <t>PMOBRAB11</t>
  </si>
  <si>
    <t>PMOBRAB12</t>
  </si>
  <si>
    <t>PMOBRAB13</t>
  </si>
  <si>
    <t>PMOBRAB14</t>
  </si>
  <si>
    <t>PMOBRAB15</t>
  </si>
  <si>
    <t>PMOBRAB16</t>
  </si>
  <si>
    <t>PMOBRAB17</t>
  </si>
  <si>
    <t>PMOBRAB18</t>
  </si>
  <si>
    <t>PMOBRAB19</t>
  </si>
  <si>
    <t>PMOBRAB20</t>
  </si>
  <si>
    <t>PMOBRAB21</t>
  </si>
  <si>
    <t>PMOBRAB22</t>
  </si>
  <si>
    <t>PMOBRAB23</t>
  </si>
  <si>
    <t>Количество неуд. км</t>
  </si>
  <si>
    <t>Количество неисправностей 2/3 степени</t>
  </si>
  <si>
    <t>PMOBRAB24</t>
  </si>
  <si>
    <t>PMOBRAB25</t>
  </si>
  <si>
    <t>% негодности шпал, всего</t>
  </si>
  <si>
    <t>план 17</t>
  </si>
  <si>
    <t>:namerab1 = '090000070837'</t>
  </si>
  <si>
    <t>MPMPLAN26</t>
  </si>
  <si>
    <t xml:space="preserve">            &lt;CONDITION&gt;</t>
  </si>
  <si>
    <t xml:space="preserve">               &lt;CLASSNAME/&gt;</t>
  </si>
  <si>
    <t xml:space="preserve">               &lt;CONDITIONNUM&gt;MPMPLAN26&lt;/CONDITIONNUM&gt;</t>
  </si>
  <si>
    <t xml:space="preserve">               &lt;DESCRIPTION&gt;Условия для опции подписи "MPMPLAN26"&lt;/DESCRIPTION&gt;</t>
  </si>
  <si>
    <t xml:space="preserve">               &lt;EXPRESSION&gt;:namerab1 = '090000070907'&lt;/EXPRESSION&gt;</t>
  </si>
  <si>
    <t xml:space="preserve">               &lt;TYPE&gt;ВЫРАЖЕНИЕ&lt;/TYPE&gt;</t>
  </si>
  <si>
    <t xml:space="preserve">            &lt;/CONDITION&gt;</t>
  </si>
  <si>
    <t>:namerab1 in ('090000070802', '090000070883', '090000070884', '090000070885', '090000070886', '090000070889', '090000070890', '090000070891', '090000070874', '090000070899', '090000070900', '090000070901', '090000070902', '090000070903', '090000070904', '090000070905', '090000070906', '090000070908', '090000070909', '090000087800', '090000070823', '090000074833', '090000074834', '090000074825', '090000070850', '090000070851', '090000070852', '090000070853', '090000070854', '090000070855', '090000070856', '090000070857', '090000070858', '090000070859', '090000070860', '090000070861', '090000070862', '090000087801', '090000087802', '090000087803', '090000087804', '090000087805', '090000087806', '090000070824', '090000070833', '090000070834', '090000070835', '090000070868', '090000070870', '090000070871', '090000070888', '090000070887', '090000070848', '090000070893', '090000070894', '090000070896', '090000070897', '090000070898', '090000087807', '090000070892')</t>
  </si>
</sst>
</file>

<file path=xl/styles.xml><?xml version="1.0" encoding="utf-8"?>
<styleSheet xmlns="http://schemas.openxmlformats.org/spreadsheetml/2006/main">
  <fonts count="8">
    <font>
      <sz val="11"/>
      <color theme="1"/>
      <name val="Calibri"/>
      <family val="2"/>
      <charset val="204"/>
      <scheme val="minor"/>
    </font>
    <font>
      <sz val="10"/>
      <color theme="1"/>
      <name val="Trebuchet MS"/>
      <family val="2"/>
      <charset val="204"/>
    </font>
    <font>
      <b/>
      <sz val="10"/>
      <color theme="1"/>
      <name val="Trebuchet MS"/>
      <family val="2"/>
      <charset val="204"/>
    </font>
    <font>
      <sz val="8"/>
      <color indexed="81"/>
      <name val="Tahoma"/>
      <family val="2"/>
      <charset val="204"/>
    </font>
    <font>
      <b/>
      <sz val="8"/>
      <color indexed="81"/>
      <name val="Tahoma"/>
      <family val="2"/>
      <charset val="204"/>
    </font>
    <font>
      <sz val="10"/>
      <color rgb="FF000000"/>
      <name val="Trebuchet MS"/>
      <family val="2"/>
      <charset val="204"/>
    </font>
    <font>
      <sz val="10"/>
      <name val="Arial"/>
      <family val="2"/>
      <charset val="204"/>
    </font>
    <font>
      <b/>
      <sz val="11"/>
      <color theme="1"/>
      <name val="Times New Roman"/>
      <family val="1"/>
      <charset val="204"/>
    </font>
  </fonts>
  <fills count="9">
    <fill>
      <patternFill patternType="none"/>
    </fill>
    <fill>
      <patternFill patternType="gray125"/>
    </fill>
    <fill>
      <patternFill patternType="solid">
        <fgColor theme="9" tint="0.3999755851924192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9" tint="-0.249977111117893"/>
        <bgColor indexed="64"/>
      </patternFill>
    </fill>
    <fill>
      <patternFill patternType="solid">
        <fgColor theme="5" tint="0.59999389629810485"/>
        <bgColor indexed="64"/>
      </patternFill>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top/>
      <bottom style="medium">
        <color indexed="64"/>
      </bottom>
      <diagonal/>
    </border>
    <border>
      <left/>
      <right style="thin">
        <color indexed="64"/>
      </right>
      <top/>
      <bottom style="thin">
        <color indexed="64"/>
      </bottom>
      <diagonal/>
    </border>
  </borders>
  <cellStyleXfs count="2">
    <xf numFmtId="0" fontId="0" fillId="0" borderId="0"/>
    <xf numFmtId="0" fontId="6" fillId="0" borderId="0"/>
  </cellStyleXfs>
  <cellXfs count="154">
    <xf numFmtId="0" fontId="0" fillId="0" borderId="0" xfId="0"/>
    <xf numFmtId="0" fontId="1" fillId="0" borderId="0" xfId="0" applyFont="1"/>
    <xf numFmtId="49" fontId="1" fillId="0" borderId="0" xfId="0" applyNumberFormat="1" applyFont="1"/>
    <xf numFmtId="49" fontId="2" fillId="2" borderId="2" xfId="0" applyNumberFormat="1" applyFont="1" applyFill="1" applyBorder="1" applyAlignment="1">
      <alignment horizontal="center" vertical="center"/>
    </xf>
    <xf numFmtId="0" fontId="2" fillId="2" borderId="2" xfId="0" applyFont="1" applyFill="1" applyBorder="1" applyAlignment="1">
      <alignment horizontal="center" vertical="center"/>
    </xf>
    <xf numFmtId="0" fontId="1" fillId="0" borderId="4" xfId="0" applyFont="1" applyBorder="1"/>
    <xf numFmtId="0" fontId="1" fillId="0" borderId="1" xfId="0" applyFont="1" applyBorder="1"/>
    <xf numFmtId="0" fontId="1" fillId="0" borderId="6" xfId="0" applyFont="1" applyBorder="1"/>
    <xf numFmtId="0" fontId="1" fillId="0" borderId="7" xfId="0" applyFont="1" applyBorder="1"/>
    <xf numFmtId="0" fontId="1" fillId="0" borderId="9" xfId="0" applyFont="1" applyBorder="1"/>
    <xf numFmtId="0" fontId="1" fillId="0" borderId="11" xfId="0" applyFont="1" applyBorder="1"/>
    <xf numFmtId="0" fontId="1" fillId="0" borderId="12" xfId="0" applyFont="1" applyBorder="1"/>
    <xf numFmtId="0" fontId="1" fillId="0" borderId="2" xfId="0" applyFont="1" applyBorder="1"/>
    <xf numFmtId="0" fontId="1" fillId="0" borderId="14" xfId="0" applyFont="1" applyBorder="1"/>
    <xf numFmtId="0" fontId="1" fillId="0" borderId="18" xfId="0" applyFont="1" applyBorder="1"/>
    <xf numFmtId="0" fontId="1" fillId="0" borderId="19" xfId="0" applyFont="1" applyBorder="1"/>
    <xf numFmtId="49" fontId="1" fillId="0" borderId="20" xfId="0" applyNumberFormat="1" applyFont="1" applyBorder="1" applyAlignment="1">
      <alignment horizontal="center" vertical="center"/>
    </xf>
    <xf numFmtId="0" fontId="1" fillId="0" borderId="21" xfId="0" applyFont="1" applyBorder="1"/>
    <xf numFmtId="49" fontId="1" fillId="0" borderId="15" xfId="0" applyNumberFormat="1" applyFont="1" applyBorder="1" applyAlignment="1">
      <alignment horizontal="center" vertical="center"/>
    </xf>
    <xf numFmtId="0" fontId="1" fillId="0" borderId="22" xfId="0" applyFont="1" applyBorder="1"/>
    <xf numFmtId="0" fontId="1" fillId="0" borderId="23" xfId="0" applyFont="1" applyBorder="1"/>
    <xf numFmtId="0" fontId="1" fillId="0" borderId="0" xfId="0" applyFont="1" applyBorder="1"/>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2" borderId="1" xfId="0" applyFont="1" applyFill="1" applyBorder="1" applyAlignment="1">
      <alignment horizontal="left" vertical="center" wrapText="1"/>
    </xf>
    <xf numFmtId="0" fontId="1" fillId="0" borderId="1" xfId="0" applyFont="1" applyFill="1" applyBorder="1" applyAlignment="1">
      <alignment horizontal="left" vertical="center"/>
    </xf>
    <xf numFmtId="0" fontId="1" fillId="0" borderId="0" xfId="0" applyFont="1" applyBorder="1" applyAlignment="1">
      <alignment wrapText="1"/>
    </xf>
    <xf numFmtId="0" fontId="1" fillId="0" borderId="0" xfId="0" applyFont="1" applyBorder="1" applyAlignment="1">
      <alignment horizontal="left" vertical="center"/>
    </xf>
    <xf numFmtId="0" fontId="1" fillId="0" borderId="1" xfId="0" applyFont="1" applyFill="1" applyBorder="1" applyAlignment="1">
      <alignment horizontal="left" vertical="center" wrapText="1"/>
    </xf>
    <xf numFmtId="0" fontId="1" fillId="0" borderId="1" xfId="0" applyFont="1" applyFill="1" applyBorder="1"/>
    <xf numFmtId="0" fontId="0" fillId="0" borderId="1" xfId="0" applyBorder="1" applyAlignment="1">
      <alignment horizontal="center" vertical="center"/>
    </xf>
    <xf numFmtId="0" fontId="0" fillId="0" borderId="1" xfId="0" applyFill="1" applyBorder="1" applyAlignment="1">
      <alignment horizontal="center" vertical="center"/>
    </xf>
    <xf numFmtId="0" fontId="1" fillId="0" borderId="27" xfId="0" applyFont="1" applyBorder="1"/>
    <xf numFmtId="0" fontId="1" fillId="0" borderId="28" xfId="0" applyFont="1" applyBorder="1"/>
    <xf numFmtId="49" fontId="1" fillId="0" borderId="29" xfId="0" applyNumberFormat="1" applyFont="1" applyBorder="1" applyAlignment="1">
      <alignment horizontal="center" vertical="center"/>
    </xf>
    <xf numFmtId="0" fontId="1" fillId="0" borderId="30" xfId="0" applyFont="1" applyBorder="1"/>
    <xf numFmtId="0" fontId="0" fillId="0" borderId="0" xfId="0" quotePrefix="1"/>
    <xf numFmtId="49" fontId="1" fillId="0" borderId="32" xfId="0" applyNumberFormat="1" applyFont="1" applyBorder="1" applyAlignment="1">
      <alignment horizontal="center" vertical="center"/>
    </xf>
    <xf numFmtId="49" fontId="1" fillId="0" borderId="34" xfId="0" applyNumberFormat="1" applyFont="1" applyBorder="1" applyAlignment="1">
      <alignment horizontal="center" vertical="center"/>
    </xf>
    <xf numFmtId="49" fontId="1" fillId="0" borderId="35" xfId="0" applyNumberFormat="1" applyFont="1" applyBorder="1" applyAlignment="1">
      <alignment horizontal="center" vertical="center"/>
    </xf>
    <xf numFmtId="49" fontId="1" fillId="0" borderId="36" xfId="0" applyNumberFormat="1" applyFont="1" applyBorder="1" applyAlignment="1">
      <alignment horizontal="center" vertical="center"/>
    </xf>
    <xf numFmtId="49" fontId="0" fillId="0" borderId="0" xfId="0" applyNumberFormat="1" applyBorder="1"/>
    <xf numFmtId="49" fontId="0" fillId="0" borderId="1" xfId="0" applyNumberFormat="1" applyBorder="1"/>
    <xf numFmtId="49" fontId="0" fillId="0" borderId="6" xfId="0" applyNumberFormat="1" applyBorder="1"/>
    <xf numFmtId="49" fontId="0" fillId="0" borderId="11" xfId="0" applyNumberFormat="1" applyBorder="1"/>
    <xf numFmtId="49" fontId="0" fillId="0" borderId="4" xfId="0" applyNumberFormat="1" applyBorder="1"/>
    <xf numFmtId="49" fontId="0" fillId="0" borderId="41" xfId="0" applyNumberFormat="1" applyBorder="1"/>
    <xf numFmtId="49" fontId="0" fillId="0" borderId="42" xfId="0" applyNumberFormat="1" applyBorder="1"/>
    <xf numFmtId="49" fontId="1" fillId="0" borderId="17" xfId="0" applyNumberFormat="1" applyFont="1" applyBorder="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left" vertical="center"/>
    </xf>
    <xf numFmtId="0" fontId="1" fillId="0" borderId="27" xfId="0" applyFont="1" applyBorder="1" applyAlignment="1">
      <alignment horizontal="left" vertical="center" wrapText="1"/>
    </xf>
    <xf numFmtId="0" fontId="1" fillId="0" borderId="27" xfId="0" applyFont="1" applyBorder="1" applyAlignment="1">
      <alignment horizontal="left" vertical="center"/>
    </xf>
    <xf numFmtId="0" fontId="1" fillId="3" borderId="5" xfId="0" applyFont="1" applyFill="1" applyBorder="1" applyAlignment="1">
      <alignment horizontal="left" vertical="center" wrapText="1"/>
    </xf>
    <xf numFmtId="0" fontId="1" fillId="3" borderId="6" xfId="0" applyFont="1" applyFill="1" applyBorder="1" applyAlignment="1">
      <alignment horizontal="left" vertical="center" wrapText="1"/>
    </xf>
    <xf numFmtId="0" fontId="1" fillId="3" borderId="6" xfId="0" applyFont="1" applyFill="1" applyBorder="1" applyAlignment="1">
      <alignment horizontal="left" vertical="center"/>
    </xf>
    <xf numFmtId="0" fontId="1" fillId="3" borderId="6" xfId="0" applyFont="1" applyFill="1" applyBorder="1"/>
    <xf numFmtId="0" fontId="1" fillId="3" borderId="10" xfId="0" applyFont="1" applyFill="1" applyBorder="1" applyAlignment="1">
      <alignment horizontal="left" vertical="center" wrapText="1"/>
    </xf>
    <xf numFmtId="0" fontId="1" fillId="3" borderId="11" xfId="0" applyFont="1" applyFill="1" applyBorder="1" applyAlignment="1">
      <alignment horizontal="left" vertical="center" wrapText="1"/>
    </xf>
    <xf numFmtId="0" fontId="1" fillId="3" borderId="11" xfId="0" applyFont="1" applyFill="1" applyBorder="1" applyAlignment="1">
      <alignment horizontal="left" vertical="center"/>
    </xf>
    <xf numFmtId="0" fontId="1" fillId="3" borderId="11" xfId="0" applyFont="1" applyFill="1" applyBorder="1"/>
    <xf numFmtId="0" fontId="1" fillId="0" borderId="0" xfId="0" quotePrefix="1" applyFont="1"/>
    <xf numFmtId="0" fontId="1" fillId="0" borderId="25" xfId="0" applyFont="1" applyBorder="1"/>
    <xf numFmtId="0" fontId="1" fillId="0" borderId="6" xfId="0" applyFont="1" applyBorder="1" applyAlignment="1">
      <alignment horizontal="left" vertical="center"/>
    </xf>
    <xf numFmtId="0" fontId="1" fillId="0" borderId="11" xfId="0" applyFont="1" applyBorder="1" applyAlignment="1">
      <alignment horizontal="left" vertical="center"/>
    </xf>
    <xf numFmtId="0" fontId="1" fillId="0" borderId="43" xfId="0" applyFont="1" applyBorder="1" applyAlignment="1">
      <alignment horizontal="left" vertical="center"/>
    </xf>
    <xf numFmtId="0" fontId="1" fillId="0" borderId="43" xfId="0" applyFont="1" applyFill="1" applyBorder="1" applyAlignment="1">
      <alignment horizontal="left" vertical="center"/>
    </xf>
    <xf numFmtId="0" fontId="1" fillId="0" borderId="44" xfId="0" applyFont="1" applyBorder="1" applyAlignment="1">
      <alignment horizontal="left" vertical="center"/>
    </xf>
    <xf numFmtId="0" fontId="1" fillId="3" borderId="45" xfId="0" applyFont="1" applyFill="1" applyBorder="1" applyAlignment="1">
      <alignment horizontal="left" vertical="center"/>
    </xf>
    <xf numFmtId="0" fontId="1" fillId="3" borderId="46" xfId="0" applyFont="1" applyFill="1" applyBorder="1" applyAlignment="1">
      <alignment horizontal="left" vertical="center"/>
    </xf>
    <xf numFmtId="0" fontId="1" fillId="0" borderId="47" xfId="0" applyFont="1" applyBorder="1" applyAlignment="1">
      <alignment horizontal="left" vertical="center"/>
    </xf>
    <xf numFmtId="0" fontId="5" fillId="0" borderId="1" xfId="0" applyFont="1" applyBorder="1" applyAlignment="1">
      <alignment horizontal="right"/>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4" borderId="43" xfId="0" applyFont="1" applyFill="1" applyBorder="1" applyAlignment="1">
      <alignment horizontal="left" vertical="center"/>
    </xf>
    <xf numFmtId="0" fontId="1" fillId="4" borderId="1" xfId="0" applyFont="1" applyFill="1" applyBorder="1"/>
    <xf numFmtId="0" fontId="5" fillId="4" borderId="1" xfId="0" applyFont="1" applyFill="1" applyBorder="1" applyAlignment="1">
      <alignment horizontal="right"/>
    </xf>
    <xf numFmtId="0" fontId="0" fillId="5" borderId="1" xfId="0" applyFill="1" applyBorder="1" applyAlignment="1">
      <alignment horizontal="center" vertical="center"/>
    </xf>
    <xf numFmtId="0" fontId="0" fillId="5" borderId="0" xfId="0" applyFill="1"/>
    <xf numFmtId="0" fontId="0" fillId="5" borderId="0" xfId="0" quotePrefix="1" applyFill="1"/>
    <xf numFmtId="0" fontId="0" fillId="5" borderId="26" xfId="0" applyFill="1" applyBorder="1" applyAlignment="1">
      <alignment horizontal="center" vertical="center"/>
    </xf>
    <xf numFmtId="0" fontId="1" fillId="5" borderId="0" xfId="0" applyFont="1" applyFill="1"/>
    <xf numFmtId="0" fontId="0" fillId="6" borderId="1" xfId="0" applyFill="1" applyBorder="1" applyAlignment="1">
      <alignment horizontal="center" vertical="center"/>
    </xf>
    <xf numFmtId="0" fontId="1" fillId="0" borderId="1" xfId="0" applyFont="1" applyBorder="1" applyAlignment="1">
      <alignment wrapText="1"/>
    </xf>
    <xf numFmtId="0" fontId="1" fillId="4" borderId="1" xfId="0" applyFont="1" applyFill="1" applyBorder="1" applyAlignment="1">
      <alignment wrapText="1"/>
    </xf>
    <xf numFmtId="0" fontId="1" fillId="0" borderId="1" xfId="0" applyNumberFormat="1" applyFont="1" applyBorder="1" applyAlignment="1">
      <alignment horizontal="justify" vertical="center" wrapText="1"/>
    </xf>
    <xf numFmtId="0" fontId="1" fillId="0" borderId="0" xfId="0" applyFont="1" applyBorder="1" applyAlignment="1">
      <alignment horizontal="justify" vertical="center" wrapText="1"/>
    </xf>
    <xf numFmtId="0" fontId="0" fillId="0" borderId="1" xfId="0" applyBorder="1"/>
    <xf numFmtId="0" fontId="0" fillId="0" borderId="1" xfId="0" applyNumberFormat="1" applyBorder="1"/>
    <xf numFmtId="0" fontId="0" fillId="0" borderId="0" xfId="0" applyFill="1"/>
    <xf numFmtId="0" fontId="0" fillId="0" borderId="0" xfId="0" quotePrefix="1" applyFill="1"/>
    <xf numFmtId="0" fontId="1" fillId="0" borderId="0" xfId="0" applyFont="1" applyFill="1"/>
    <xf numFmtId="0" fontId="1" fillId="0" borderId="4" xfId="0" applyFont="1" applyBorder="1" applyAlignment="1">
      <alignment horizontal="left" vertical="center"/>
    </xf>
    <xf numFmtId="49" fontId="1" fillId="0" borderId="1" xfId="0" applyNumberFormat="1" applyFont="1" applyBorder="1" applyAlignment="1">
      <alignment horizontal="center" vertical="center"/>
    </xf>
    <xf numFmtId="0" fontId="1" fillId="0" borderId="34" xfId="0" applyFont="1" applyBorder="1" applyAlignment="1">
      <alignment horizontal="left" vertical="center"/>
    </xf>
    <xf numFmtId="49" fontId="1" fillId="0" borderId="42" xfId="0" applyNumberFormat="1" applyFont="1" applyBorder="1" applyAlignment="1">
      <alignment horizontal="center" vertical="center"/>
    </xf>
    <xf numFmtId="0" fontId="1" fillId="0" borderId="42" xfId="0" applyFont="1" applyBorder="1" applyAlignment="1">
      <alignment horizontal="left" vertical="center"/>
    </xf>
    <xf numFmtId="0" fontId="1" fillId="0" borderId="41" xfId="0" applyFont="1" applyBorder="1" applyAlignment="1">
      <alignment horizontal="left" vertical="center"/>
    </xf>
    <xf numFmtId="0" fontId="1" fillId="0" borderId="36" xfId="0" applyFont="1" applyBorder="1" applyAlignment="1">
      <alignment horizontal="left" vertical="center"/>
    </xf>
    <xf numFmtId="0" fontId="7" fillId="7" borderId="20" xfId="0" applyFont="1" applyFill="1" applyBorder="1" applyAlignment="1">
      <alignment vertical="center" wrapText="1"/>
    </xf>
    <xf numFmtId="49" fontId="1" fillId="3" borderId="32" xfId="0" applyNumberFormat="1" applyFont="1" applyFill="1" applyBorder="1" applyAlignment="1">
      <alignment horizontal="center" vertical="center"/>
    </xf>
    <xf numFmtId="0" fontId="1" fillId="3" borderId="7" xfId="0" applyFont="1" applyFill="1" applyBorder="1"/>
    <xf numFmtId="49" fontId="1" fillId="3" borderId="34" xfId="0" applyNumberFormat="1" applyFont="1" applyFill="1" applyBorder="1" applyAlignment="1">
      <alignment horizontal="center" vertical="center"/>
    </xf>
    <xf numFmtId="0" fontId="1" fillId="3" borderId="2" xfId="0" applyFont="1" applyFill="1" applyBorder="1"/>
    <xf numFmtId="0" fontId="1" fillId="3" borderId="14" xfId="0" applyFont="1" applyFill="1" applyBorder="1"/>
    <xf numFmtId="49" fontId="1" fillId="3" borderId="2" xfId="0" applyNumberFormat="1" applyFont="1" applyFill="1" applyBorder="1" applyAlignment="1">
      <alignment horizontal="center" vertical="center"/>
    </xf>
    <xf numFmtId="49" fontId="1" fillId="3" borderId="5" xfId="0" applyNumberFormat="1" applyFont="1" applyFill="1" applyBorder="1" applyAlignment="1">
      <alignment horizontal="center" vertical="center"/>
    </xf>
    <xf numFmtId="49" fontId="1" fillId="3" borderId="8" xfId="0" applyNumberFormat="1" applyFont="1" applyFill="1" applyBorder="1" applyAlignment="1">
      <alignment horizontal="center" vertical="center"/>
    </xf>
    <xf numFmtId="0" fontId="1" fillId="3" borderId="1" xfId="0" applyFont="1" applyFill="1" applyBorder="1"/>
    <xf numFmtId="0" fontId="1" fillId="3" borderId="9" xfId="0" applyFont="1" applyFill="1" applyBorder="1"/>
    <xf numFmtId="49" fontId="1" fillId="3" borderId="13" xfId="0" applyNumberFormat="1" applyFont="1" applyFill="1" applyBorder="1" applyAlignment="1">
      <alignment horizontal="center" vertical="center"/>
    </xf>
    <xf numFmtId="0" fontId="1" fillId="3" borderId="12" xfId="0" applyFont="1" applyFill="1" applyBorder="1"/>
    <xf numFmtId="49" fontId="0" fillId="3" borderId="6" xfId="0" applyNumberFormat="1" applyFill="1" applyBorder="1"/>
    <xf numFmtId="0" fontId="1" fillId="3" borderId="32" xfId="0" applyFont="1" applyFill="1" applyBorder="1"/>
    <xf numFmtId="49" fontId="0" fillId="3" borderId="1" xfId="0" applyNumberFormat="1" applyFill="1" applyBorder="1"/>
    <xf numFmtId="0" fontId="1" fillId="3" borderId="33" xfId="0" applyFont="1" applyFill="1" applyBorder="1"/>
    <xf numFmtId="0" fontId="1" fillId="3" borderId="49" xfId="0" applyFont="1" applyFill="1" applyBorder="1"/>
    <xf numFmtId="49" fontId="0" fillId="3" borderId="11" xfId="0" applyNumberFormat="1" applyFill="1" applyBorder="1"/>
    <xf numFmtId="0" fontId="1" fillId="3" borderId="37" xfId="0" applyFont="1" applyFill="1" applyBorder="1"/>
    <xf numFmtId="49" fontId="1" fillId="3" borderId="0" xfId="0" applyNumberFormat="1" applyFont="1" applyFill="1"/>
    <xf numFmtId="0" fontId="1" fillId="3" borderId="43" xfId="0" applyFont="1" applyFill="1" applyBorder="1" applyAlignment="1">
      <alignment horizontal="left" vertical="center"/>
    </xf>
    <xf numFmtId="0" fontId="1" fillId="3" borderId="0" xfId="0" applyFont="1" applyFill="1"/>
    <xf numFmtId="0" fontId="0" fillId="5" borderId="0" xfId="0" applyFill="1" applyBorder="1" applyAlignment="1">
      <alignment horizontal="center" vertical="center"/>
    </xf>
    <xf numFmtId="49" fontId="1" fillId="0" borderId="51" xfId="0" applyNumberFormat="1" applyFont="1" applyBorder="1" applyAlignment="1">
      <alignment horizontal="center" vertical="center"/>
    </xf>
    <xf numFmtId="49" fontId="1" fillId="0" borderId="5" xfId="0" applyNumberFormat="1" applyFont="1" applyBorder="1" applyAlignment="1">
      <alignment horizontal="center" vertical="center"/>
    </xf>
    <xf numFmtId="49" fontId="1" fillId="0" borderId="8" xfId="0" applyNumberFormat="1" applyFont="1" applyBorder="1" applyAlignment="1">
      <alignment horizontal="center" vertical="center"/>
    </xf>
    <xf numFmtId="49" fontId="1" fillId="0" borderId="10" xfId="0" applyNumberFormat="1" applyFont="1" applyBorder="1" applyAlignment="1">
      <alignment horizontal="center" vertical="center"/>
    </xf>
    <xf numFmtId="49" fontId="1" fillId="0" borderId="16" xfId="0" applyNumberFormat="1" applyFont="1" applyBorder="1" applyAlignment="1">
      <alignment horizontal="center" vertical="center"/>
    </xf>
    <xf numFmtId="49" fontId="1" fillId="0" borderId="17" xfId="0" applyNumberFormat="1" applyFont="1" applyBorder="1" applyAlignment="1">
      <alignment horizontal="center" vertical="center"/>
    </xf>
    <xf numFmtId="49" fontId="1" fillId="0" borderId="3" xfId="0" applyNumberFormat="1" applyFont="1" applyBorder="1" applyAlignment="1">
      <alignment horizontal="center" vertical="center"/>
    </xf>
    <xf numFmtId="49" fontId="1" fillId="0" borderId="24" xfId="0" applyNumberFormat="1" applyFont="1" applyBorder="1" applyAlignment="1">
      <alignment horizontal="center" vertical="center"/>
    </xf>
    <xf numFmtId="49" fontId="1" fillId="0" borderId="15" xfId="0" applyNumberFormat="1" applyFont="1" applyBorder="1" applyAlignment="1">
      <alignment horizontal="center" vertical="center"/>
    </xf>
    <xf numFmtId="49" fontId="1" fillId="0" borderId="5" xfId="0" applyNumberFormat="1" applyFont="1" applyBorder="1" applyAlignment="1">
      <alignment horizontal="center" vertical="center" wrapText="1"/>
    </xf>
    <xf numFmtId="49" fontId="1" fillId="0" borderId="8" xfId="0" applyNumberFormat="1" applyFont="1" applyBorder="1" applyAlignment="1">
      <alignment horizontal="center" vertical="center" wrapText="1"/>
    </xf>
    <xf numFmtId="49" fontId="1" fillId="0" borderId="10" xfId="0" applyNumberFormat="1" applyFont="1" applyBorder="1" applyAlignment="1">
      <alignment horizontal="center" vertical="center" wrapText="1"/>
    </xf>
    <xf numFmtId="49" fontId="1" fillId="0" borderId="31" xfId="0" applyNumberFormat="1" applyFont="1" applyBorder="1" applyAlignment="1">
      <alignment horizontal="center" vertical="center"/>
    </xf>
    <xf numFmtId="49" fontId="1" fillId="0" borderId="13" xfId="0" applyNumberFormat="1" applyFont="1" applyBorder="1" applyAlignment="1">
      <alignment horizontal="center" vertical="center"/>
    </xf>
    <xf numFmtId="49" fontId="1" fillId="3" borderId="3" xfId="0" applyNumberFormat="1" applyFont="1" applyFill="1" applyBorder="1" applyAlignment="1">
      <alignment horizontal="center" vertical="center"/>
    </xf>
    <xf numFmtId="49" fontId="1" fillId="3" borderId="24" xfId="0" applyNumberFormat="1" applyFont="1" applyFill="1" applyBorder="1" applyAlignment="1">
      <alignment horizontal="center" vertical="center"/>
    </xf>
    <xf numFmtId="49" fontId="1" fillId="3" borderId="50" xfId="0" applyNumberFormat="1" applyFont="1" applyFill="1" applyBorder="1" applyAlignment="1">
      <alignment horizontal="center" vertical="center"/>
    </xf>
    <xf numFmtId="49" fontId="1" fillId="3" borderId="15" xfId="0" applyNumberFormat="1" applyFont="1" applyFill="1" applyBorder="1" applyAlignment="1">
      <alignment horizontal="center" vertical="center"/>
    </xf>
    <xf numFmtId="49" fontId="1" fillId="3" borderId="16" xfId="0" applyNumberFormat="1" applyFont="1" applyFill="1" applyBorder="1" applyAlignment="1">
      <alignment horizontal="center" vertical="center"/>
    </xf>
    <xf numFmtId="49" fontId="1" fillId="3" borderId="17" xfId="0" applyNumberFormat="1" applyFont="1" applyFill="1" applyBorder="1" applyAlignment="1">
      <alignment horizontal="center" vertical="center"/>
    </xf>
    <xf numFmtId="49" fontId="1" fillId="3" borderId="38" xfId="0" applyNumberFormat="1" applyFont="1" applyFill="1" applyBorder="1" applyAlignment="1">
      <alignment horizontal="center" vertical="center"/>
    </xf>
    <xf numFmtId="49" fontId="1" fillId="3" borderId="39" xfId="0" applyNumberFormat="1" applyFont="1" applyFill="1" applyBorder="1" applyAlignment="1">
      <alignment horizontal="center" vertical="center"/>
    </xf>
    <xf numFmtId="49" fontId="1" fillId="3" borderId="48" xfId="0" applyNumberFormat="1" applyFont="1" applyFill="1" applyBorder="1" applyAlignment="1">
      <alignment horizontal="center" vertical="center"/>
    </xf>
    <xf numFmtId="49" fontId="1" fillId="3" borderId="40" xfId="0" applyNumberFormat="1" applyFont="1" applyFill="1" applyBorder="1" applyAlignment="1">
      <alignment horizontal="center" vertical="center"/>
    </xf>
    <xf numFmtId="49" fontId="1" fillId="8" borderId="5" xfId="0" applyNumberFormat="1" applyFont="1" applyFill="1" applyBorder="1" applyAlignment="1">
      <alignment horizontal="center" vertical="center"/>
    </xf>
    <xf numFmtId="0" fontId="1" fillId="8" borderId="6" xfId="0" applyFont="1" applyFill="1" applyBorder="1" applyAlignment="1">
      <alignment horizontal="left" vertical="center"/>
    </xf>
    <xf numFmtId="0" fontId="1" fillId="8" borderId="6" xfId="0" applyFont="1" applyFill="1" applyBorder="1"/>
    <xf numFmtId="0" fontId="1" fillId="8" borderId="7" xfId="0" applyFont="1" applyFill="1" applyBorder="1"/>
    <xf numFmtId="0" fontId="1" fillId="8" borderId="0" xfId="0" applyFont="1" applyFill="1"/>
    <xf numFmtId="0" fontId="1" fillId="8" borderId="0" xfId="0" quotePrefix="1" applyFont="1" applyFill="1"/>
    <xf numFmtId="0" fontId="0" fillId="8" borderId="0" xfId="0" applyFill="1"/>
  </cellXfs>
  <cellStyles count="2">
    <cellStyle name="Обычный" xfId="0" builtinId="0"/>
    <cellStyle name="Обычный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M303"/>
  <sheetViews>
    <sheetView tabSelected="1" topLeftCell="A19" workbookViewId="0">
      <selection activeCell="A87" sqref="A87:XFD87"/>
    </sheetView>
  </sheetViews>
  <sheetFormatPr defaultRowHeight="15"/>
  <cols>
    <col min="1" max="1" width="9.140625" style="2"/>
    <col min="2" max="2" width="14.42578125" style="2" bestFit="1" customWidth="1"/>
    <col min="3" max="3" width="74.28515625" style="1" bestFit="1" customWidth="1"/>
    <col min="4" max="4" width="12.42578125" style="1" customWidth="1"/>
    <col min="5" max="5" width="11" style="1" bestFit="1" customWidth="1"/>
    <col min="6" max="6" width="5.28515625" style="1" bestFit="1" customWidth="1"/>
    <col min="7" max="16384" width="9.140625" style="1"/>
  </cols>
  <sheetData>
    <row r="1" spans="1:13" ht="15.75" thickBot="1">
      <c r="A1" s="3" t="s">
        <v>3</v>
      </c>
      <c r="B1" s="3" t="s">
        <v>580</v>
      </c>
      <c r="C1" s="4" t="s">
        <v>0</v>
      </c>
      <c r="D1" s="4" t="s">
        <v>1</v>
      </c>
      <c r="E1" s="4" t="s">
        <v>2</v>
      </c>
    </row>
    <row r="2" spans="1:13" ht="15.75">
      <c r="A2" s="143" t="s">
        <v>4</v>
      </c>
      <c r="B2" s="112" t="s">
        <v>419</v>
      </c>
      <c r="C2" s="113" t="s">
        <v>5</v>
      </c>
      <c r="D2" s="56" t="s">
        <v>6</v>
      </c>
      <c r="E2" s="101" t="s">
        <v>6</v>
      </c>
      <c r="G2" s="61" t="str">
        <f>"&lt;CLASSSTRUCTURE&gt;&lt;CLASSSTRUCTUREID&gt;"&amp;B3&amp;"&lt;/CLASSSTRUCTUREID&gt;"</f>
        <v>&lt;CLASSSTRUCTURE&gt;&lt;CLASSSTRUCTUREID&gt;090000070799&lt;/CLASSSTRUCTUREID&gt;</v>
      </c>
      <c r="H2" s="61"/>
    </row>
    <row r="3" spans="1:13" ht="15.75" customHeight="1">
      <c r="A3" s="144"/>
      <c r="B3" s="114" t="s">
        <v>419</v>
      </c>
      <c r="C3" s="115" t="s">
        <v>10</v>
      </c>
      <c r="D3" s="108" t="s">
        <v>21</v>
      </c>
      <c r="E3" s="109" t="s">
        <v>635</v>
      </c>
      <c r="G3" t="str">
        <f>"&lt;CLASSSPEC&gt;&lt;SECTION/&gt;&lt;ALNVALUE&gt;"&amp;C3&amp;"&lt;/ALNVALUE&gt;&lt;ASSETATTRID&gt;"&amp;E3&amp;"&lt;/ASSETATTRID&gt;&lt;/CLASSSPEC&gt;"</f>
        <v>&lt;CLASSSPEC&gt;&lt;SECTION/&gt;&lt;ALNVALUE&gt;в т.ч. на участках послеосадочного ремонта (км)&lt;/ALNVALUE&gt;&lt;ASSETATTRID&gt;PMOBRAB01&lt;/ASSETATTRID&gt;&lt;/CLASSSPEC&gt;</v>
      </c>
      <c r="H3" s="61"/>
      <c r="J3" s="61"/>
      <c r="K3"/>
      <c r="M3" s="61"/>
    </row>
    <row r="4" spans="1:13" ht="15.75" customHeight="1">
      <c r="A4" s="144"/>
      <c r="B4" s="114" t="s">
        <v>419</v>
      </c>
      <c r="C4" s="115" t="s">
        <v>17</v>
      </c>
      <c r="D4" s="108"/>
      <c r="E4" s="109" t="s">
        <v>636</v>
      </c>
      <c r="G4" t="str">
        <f t="shared" ref="G4:G25" si="0">"&lt;CLASSSPEC&gt;&lt;SECTION/&gt;&lt;ALNVALUE&gt;"&amp;C4&amp;"&lt;/ALNVALUE&gt;&lt;ASSETATTRID&gt;"&amp;E4&amp;"&lt;/ASSETATTRID&gt;&lt;/CLASSSPEC&gt;"</f>
        <v>&lt;CLASSSPEC&gt;&lt;SECTION/&gt;&lt;ALNVALUE&gt;в т.ч. с применением технологии ВПИ-Навигатор, всего км&lt;/ALNVALUE&gt;&lt;ASSETATTRID&gt;PMOBRAB02&lt;/ASSETATTRID&gt;&lt;/CLASSSPEC&gt;</v>
      </c>
      <c r="H4" s="61"/>
      <c r="I4" s="61"/>
      <c r="J4" s="61"/>
      <c r="K4"/>
      <c r="M4" s="61"/>
    </row>
    <row r="5" spans="1:13" ht="15.75" customHeight="1">
      <c r="A5" s="144"/>
      <c r="B5" s="114" t="s">
        <v>419</v>
      </c>
      <c r="C5" s="115" t="s">
        <v>18</v>
      </c>
      <c r="D5" s="108"/>
      <c r="E5" s="109" t="s">
        <v>637</v>
      </c>
      <c r="G5" t="str">
        <f t="shared" si="0"/>
        <v>&lt;CLASSSPEC&gt;&lt;SECTION/&gt;&lt;ALNVALUE&gt;в т.ч. с применением технологии ВПИ-Навигатор, в т.ч. ДМ км&lt;/ALNVALUE&gt;&lt;ASSETATTRID&gt;PMOBRAB03&lt;/ASSETATTRID&gt;&lt;/CLASSSPEC&gt;</v>
      </c>
      <c r="H5" s="61"/>
      <c r="I5" s="61"/>
      <c r="J5" s="61"/>
      <c r="K5"/>
      <c r="M5" s="61"/>
    </row>
    <row r="6" spans="1:13" ht="15.75" customHeight="1">
      <c r="A6" s="144"/>
      <c r="B6" s="114" t="s">
        <v>419</v>
      </c>
      <c r="C6" s="115" t="s">
        <v>11</v>
      </c>
      <c r="D6" s="108" t="s">
        <v>22</v>
      </c>
      <c r="E6" s="109" t="s">
        <v>638</v>
      </c>
      <c r="G6" t="str">
        <f t="shared" si="0"/>
        <v>&lt;CLASSSPEC&gt;&lt;SECTION/&gt;&lt;ALNVALUE&gt;В т.ч. ДМ&lt;/ALNVALUE&gt;&lt;ASSETATTRID&gt;PMOBRAB04&lt;/ASSETATTRID&gt;&lt;/CLASSSPEC&gt;</v>
      </c>
      <c r="H6" s="61"/>
      <c r="I6" s="61"/>
      <c r="J6" s="61"/>
      <c r="K6"/>
      <c r="M6" s="61"/>
    </row>
    <row r="7" spans="1:13" ht="15.75" customHeight="1">
      <c r="A7" s="144"/>
      <c r="B7" s="114" t="s">
        <v>419</v>
      </c>
      <c r="C7" s="115" t="s">
        <v>19</v>
      </c>
      <c r="D7" s="108"/>
      <c r="E7" s="109" t="s">
        <v>639</v>
      </c>
      <c r="G7" t="str">
        <f t="shared" si="0"/>
        <v>&lt;CLASSSPEC&gt;&lt;SECTION/&gt;&lt;ALNVALUE&gt;в т.ч. УНИМАТ&lt;/ALNVALUE&gt;&lt;ASSETATTRID&gt;PMOBRAB05&lt;/ASSETATTRID&gt;&lt;/CLASSSPEC&gt;</v>
      </c>
      <c r="H7" s="61"/>
      <c r="I7" s="61"/>
      <c r="J7" s="61"/>
      <c r="K7"/>
      <c r="M7" s="61"/>
    </row>
    <row r="8" spans="1:13" ht="15.75" customHeight="1">
      <c r="A8" s="144"/>
      <c r="B8" s="114" t="s">
        <v>419</v>
      </c>
      <c r="C8" s="115" t="s">
        <v>12</v>
      </c>
      <c r="D8" s="108" t="s">
        <v>23</v>
      </c>
      <c r="E8" s="109" t="s">
        <v>640</v>
      </c>
      <c r="G8" t="str">
        <f t="shared" si="0"/>
        <v>&lt;CLASSSPEC&gt;&lt;SECTION/&gt;&lt;ALNVALUE&gt;В т.ч. ВПР&lt;/ALNVALUE&gt;&lt;ASSETATTRID&gt;PMOBRAB06&lt;/ASSETATTRID&gt;&lt;/CLASSSPEC&gt;</v>
      </c>
      <c r="H8" s="61"/>
      <c r="I8" s="61"/>
      <c r="J8" s="61"/>
      <c r="K8"/>
      <c r="M8" s="61"/>
    </row>
    <row r="9" spans="1:13" ht="15.75" customHeight="1">
      <c r="A9" s="144"/>
      <c r="B9" s="114" t="s">
        <v>419</v>
      </c>
      <c r="C9" s="115" t="s">
        <v>20</v>
      </c>
      <c r="D9" s="108"/>
      <c r="E9" s="109" t="s">
        <v>641</v>
      </c>
      <c r="G9" t="str">
        <f t="shared" si="0"/>
        <v>&lt;CLASSSPEC&gt;&lt;SECTION/&gt;&lt;ALNVALUE&gt;в т.ч. на главном пути&lt;/ALNVALUE&gt;&lt;ASSETATTRID&gt;PMOBRAB07&lt;/ASSETATTRID&gt;&lt;/CLASSSPEC&gt;</v>
      </c>
      <c r="H9" s="61"/>
      <c r="I9" s="61"/>
      <c r="J9" s="61"/>
      <c r="K9"/>
      <c r="M9" s="61"/>
    </row>
    <row r="10" spans="1:13" ht="15.75" customHeight="1">
      <c r="A10" s="144"/>
      <c r="B10" s="114" t="s">
        <v>419</v>
      </c>
      <c r="C10" s="115" t="s">
        <v>13</v>
      </c>
      <c r="D10" s="108" t="s">
        <v>24</v>
      </c>
      <c r="E10" s="109" t="s">
        <v>642</v>
      </c>
      <c r="G10" t="str">
        <f t="shared" si="0"/>
        <v>&lt;CLASSSPEC&gt;&lt;SECTION/&gt;&lt;ALNVALUE&gt;В т.ч. на звен.пути&lt;/ALNVALUE&gt;&lt;ASSETATTRID&gt;PMOBRAB08&lt;/ASSETATTRID&gt;&lt;/CLASSSPEC&gt;</v>
      </c>
      <c r="H10" s="61"/>
      <c r="I10" s="61"/>
      <c r="J10" s="61"/>
      <c r="K10"/>
      <c r="M10" s="61"/>
    </row>
    <row r="11" spans="1:13" ht="15.75" customHeight="1">
      <c r="A11" s="144"/>
      <c r="B11" s="114" t="s">
        <v>419</v>
      </c>
      <c r="C11" s="115" t="s">
        <v>14</v>
      </c>
      <c r="D11" s="108" t="s">
        <v>25</v>
      </c>
      <c r="E11" s="109" t="s">
        <v>643</v>
      </c>
      <c r="G11" t="str">
        <f t="shared" si="0"/>
        <v>&lt;CLASSSPEC&gt;&lt;SECTION/&gt;&lt;ALNVALUE&gt;В т.ч. на бесстыковом пути&lt;/ALNVALUE&gt;&lt;ASSETATTRID&gt;PMOBRAB09&lt;/ASSETATTRID&gt;&lt;/CLASSSPEC&gt;</v>
      </c>
      <c r="H11" s="61"/>
      <c r="I11" s="61"/>
      <c r="J11" s="61"/>
      <c r="K11"/>
      <c r="M11" s="61"/>
    </row>
    <row r="12" spans="1:13" ht="15.75" customHeight="1">
      <c r="A12" s="144"/>
      <c r="B12" s="114" t="s">
        <v>419</v>
      </c>
      <c r="C12" s="115" t="s">
        <v>15</v>
      </c>
      <c r="D12" s="108" t="s">
        <v>26</v>
      </c>
      <c r="E12" s="109" t="s">
        <v>644</v>
      </c>
      <c r="G12" t="str">
        <f t="shared" si="0"/>
        <v>&lt;CLASSSPEC&gt;&lt;SECTION/&gt;&lt;ALNVALUE&gt;В т. ч. на уч-ках с пропущ. тоннажем до 300 млн&lt;/ALNVALUE&gt;&lt;ASSETATTRID&gt;PMOBRAB10&lt;/ASSETATTRID&gt;&lt;/CLASSSPEC&gt;</v>
      </c>
      <c r="H12" s="61"/>
      <c r="I12" s="61"/>
      <c r="J12" s="61"/>
      <c r="K12"/>
      <c r="M12" s="61"/>
    </row>
    <row r="13" spans="1:13" ht="15.75" customHeight="1">
      <c r="A13" s="144"/>
      <c r="B13" s="114" t="s">
        <v>419</v>
      </c>
      <c r="C13" s="115" t="s">
        <v>16</v>
      </c>
      <c r="D13" s="108" t="s">
        <v>27</v>
      </c>
      <c r="E13" s="109" t="s">
        <v>645</v>
      </c>
      <c r="G13" t="str">
        <f t="shared" si="0"/>
        <v>&lt;CLASSSPEC&gt;&lt;SECTION/&gt;&lt;ALNVALUE&gt;В т. ч. на уч-ках с пропущ. тоннажем &gt; 300 млн&lt;/ALNVALUE&gt;&lt;ASSETATTRID&gt;PMOBRAB11&lt;/ASSETATTRID&gt;&lt;/CLASSSPEC&gt;</v>
      </c>
      <c r="H13" s="61"/>
      <c r="I13" s="61"/>
      <c r="J13" s="61"/>
      <c r="K13"/>
      <c r="M13" s="61"/>
    </row>
    <row r="14" spans="1:13" ht="15.75" customHeight="1">
      <c r="A14" s="144"/>
      <c r="B14" s="114" t="s">
        <v>419</v>
      </c>
      <c r="C14" s="115" t="s">
        <v>28</v>
      </c>
      <c r="D14" s="108" t="s">
        <v>29</v>
      </c>
      <c r="E14" s="109" t="s">
        <v>646</v>
      </c>
      <c r="G14" t="str">
        <f t="shared" si="0"/>
        <v>&lt;CLASSSPEC&gt;&lt;SECTION/&gt;&lt;ALNVALUE&gt;постановка кривых в расчетное положение (шт)&lt;/ALNVALUE&gt;&lt;ASSETATTRID&gt;PMOBRAB12&lt;/ASSETATTRID&gt;&lt;/CLASSSPEC&gt;</v>
      </c>
      <c r="H14" s="61"/>
      <c r="I14" s="61"/>
      <c r="J14" s="61"/>
      <c r="K14"/>
      <c r="M14" s="61"/>
    </row>
    <row r="15" spans="1:13" ht="15.75" customHeight="1">
      <c r="A15" s="144"/>
      <c r="B15" s="114" t="s">
        <v>419</v>
      </c>
      <c r="C15" s="115" t="s">
        <v>30</v>
      </c>
      <c r="D15" s="108" t="s">
        <v>41</v>
      </c>
      <c r="E15" s="109" t="s">
        <v>647</v>
      </c>
      <c r="G15" t="str">
        <f t="shared" si="0"/>
        <v>&lt;CLASSSPEC&gt;&lt;SECTION/&gt;&lt;ALNVALUE&gt;смена шпал (шт)&lt;/ALNVALUE&gt;&lt;ASSETATTRID&gt;PMOBRAB13&lt;/ASSETATTRID&gt;&lt;/CLASSSPEC&gt;</v>
      </c>
      <c r="H15" s="61"/>
      <c r="I15" s="61"/>
      <c r="J15" s="61"/>
      <c r="K15"/>
      <c r="M15" s="61"/>
    </row>
    <row r="16" spans="1:13" ht="15.75" customHeight="1">
      <c r="A16" s="144"/>
      <c r="B16" s="114" t="s">
        <v>419</v>
      </c>
      <c r="C16" s="115" t="s">
        <v>31</v>
      </c>
      <c r="D16" s="108" t="s">
        <v>42</v>
      </c>
      <c r="E16" s="109" t="s">
        <v>648</v>
      </c>
      <c r="G16" t="str">
        <f t="shared" si="0"/>
        <v>&lt;CLASSSPEC&gt;&lt;SECTION/&gt;&lt;ALNVALUE&gt;смена дефектных рельсов (шт)&lt;/ALNVALUE&gt;&lt;ASSETATTRID&gt;PMOBRAB14&lt;/ASSETATTRID&gt;&lt;/CLASSSPEC&gt;</v>
      </c>
      <c r="H16" s="61"/>
      <c r="I16" s="61"/>
      <c r="J16" s="61"/>
      <c r="K16"/>
      <c r="M16" s="61"/>
    </row>
    <row r="17" spans="1:13" ht="15.75" customHeight="1">
      <c r="A17" s="144"/>
      <c r="B17" s="114" t="s">
        <v>419</v>
      </c>
      <c r="C17" s="115" t="s">
        <v>32</v>
      </c>
      <c r="D17" s="108" t="s">
        <v>43</v>
      </c>
      <c r="E17" s="109" t="s">
        <v>649</v>
      </c>
      <c r="G17" t="str">
        <f t="shared" si="0"/>
        <v>&lt;CLASSSPEC&gt;&lt;SECTION/&gt;&lt;ALNVALUE&gt;устранение выплесков (п.м.пути)&lt;/ALNVALUE&gt;&lt;ASSETATTRID&gt;PMOBRAB15&lt;/ASSETATTRID&gt;&lt;/CLASSSPEC&gt;</v>
      </c>
      <c r="H17" s="61"/>
      <c r="I17" s="61"/>
      <c r="J17" s="61"/>
      <c r="K17"/>
      <c r="M17" s="61"/>
    </row>
    <row r="18" spans="1:13" ht="15.75" customHeight="1">
      <c r="A18" s="144"/>
      <c r="B18" s="114" t="s">
        <v>419</v>
      </c>
      <c r="C18" s="115" t="s">
        <v>33</v>
      </c>
      <c r="D18" s="108" t="s">
        <v>44</v>
      </c>
      <c r="E18" s="109" t="s">
        <v>650</v>
      </c>
      <c r="G18" t="str">
        <f t="shared" si="0"/>
        <v>&lt;CLASSSPEC&gt;&lt;SECTION/&gt;&lt;ALNVALUE&gt;сварка стыков (шт.стык)&lt;/ALNVALUE&gt;&lt;ASSETATTRID&gt;PMOBRAB16&lt;/ASSETATTRID&gt;&lt;/CLASSSPEC&gt;</v>
      </c>
      <c r="H18" s="61"/>
      <c r="I18" s="61"/>
      <c r="J18" s="61"/>
      <c r="K18"/>
      <c r="M18" s="61"/>
    </row>
    <row r="19" spans="1:13" ht="15.75" customHeight="1">
      <c r="A19" s="144"/>
      <c r="B19" s="114" t="s">
        <v>419</v>
      </c>
      <c r="C19" s="115" t="s">
        <v>34</v>
      </c>
      <c r="D19" s="108" t="s">
        <v>45</v>
      </c>
      <c r="E19" s="109" t="s">
        <v>651</v>
      </c>
      <c r="G19" t="str">
        <f t="shared" si="0"/>
        <v>&lt;CLASSSPEC&gt;&lt;SECTION/&gt;&lt;ALNVALUE&gt;шлифовка рельсов (км)&lt;/ALNVALUE&gt;&lt;ASSETATTRID&gt;PMOBRAB17&lt;/ASSETATTRID&gt;&lt;/CLASSSPEC&gt;</v>
      </c>
      <c r="H19" s="61"/>
      <c r="I19" s="61"/>
      <c r="J19" s="61"/>
      <c r="K19"/>
      <c r="M19" s="61"/>
    </row>
    <row r="20" spans="1:13" ht="15.75" customHeight="1">
      <c r="A20" s="144"/>
      <c r="B20" s="114" t="s">
        <v>419</v>
      </c>
      <c r="C20" s="115" t="s">
        <v>35</v>
      </c>
      <c r="D20" s="108" t="s">
        <v>46</v>
      </c>
      <c r="E20" s="109" t="s">
        <v>652</v>
      </c>
      <c r="G20" t="str">
        <f t="shared" si="0"/>
        <v>&lt;CLASSSPEC&gt;&lt;SECTION/&gt;&lt;ALNVALUE&gt;накладки (шт)&lt;/ALNVALUE&gt;&lt;ASSETATTRID&gt;PMOBRAB18&lt;/ASSETATTRID&gt;&lt;/CLASSSPEC&gt;</v>
      </c>
      <c r="H20" s="61"/>
      <c r="I20" s="61"/>
      <c r="J20" s="61"/>
      <c r="K20"/>
      <c r="M20" s="61"/>
    </row>
    <row r="21" spans="1:13" ht="15.75" customHeight="1">
      <c r="A21" s="144"/>
      <c r="B21" s="114" t="s">
        <v>419</v>
      </c>
      <c r="C21" s="115" t="s">
        <v>36</v>
      </c>
      <c r="D21" s="108" t="s">
        <v>47</v>
      </c>
      <c r="E21" s="109" t="s">
        <v>653</v>
      </c>
      <c r="G21" t="str">
        <f t="shared" si="0"/>
        <v>&lt;CLASSSPEC&gt;&lt;SECTION/&gt;&lt;ALNVALUE&gt;подкладки (шт)&lt;/ALNVALUE&gt;&lt;ASSETATTRID&gt;PMOBRAB19&lt;/ASSETATTRID&gt;&lt;/CLASSSPEC&gt;</v>
      </c>
      <c r="H21" s="61"/>
      <c r="I21" s="61"/>
      <c r="J21" s="61"/>
      <c r="K21"/>
      <c r="M21" s="61"/>
    </row>
    <row r="22" spans="1:13" ht="15.75" customHeight="1">
      <c r="A22" s="144"/>
      <c r="B22" s="114" t="s">
        <v>419</v>
      </c>
      <c r="C22" s="115" t="s">
        <v>37</v>
      </c>
      <c r="D22" s="108" t="s">
        <v>48</v>
      </c>
      <c r="E22" s="109" t="s">
        <v>654</v>
      </c>
      <c r="G22" t="str">
        <f t="shared" si="0"/>
        <v>&lt;CLASSSPEC&gt;&lt;SECTION/&gt;&lt;ALNVALUE&gt;противоугоны (шт)&lt;/ALNVALUE&gt;&lt;ASSETATTRID&gt;PMOBRAB20&lt;/ASSETATTRID&gt;&lt;/CLASSSPEC&gt;</v>
      </c>
      <c r="H22" s="61"/>
      <c r="I22" s="61"/>
      <c r="J22" s="61"/>
      <c r="K22"/>
      <c r="M22" s="61"/>
    </row>
    <row r="23" spans="1:13" ht="15.75" customHeight="1">
      <c r="A23" s="144"/>
      <c r="B23" s="114" t="s">
        <v>419</v>
      </c>
      <c r="C23" s="115" t="s">
        <v>38</v>
      </c>
      <c r="D23" s="108" t="s">
        <v>49</v>
      </c>
      <c r="E23" s="109" t="s">
        <v>655</v>
      </c>
      <c r="G23" t="str">
        <f t="shared" si="0"/>
        <v>&lt;CLASSSPEC&gt;&lt;SECTION/&gt;&lt;ALNVALUE&gt;болты стыковые с гайками (шт)&lt;/ALNVALUE&gt;&lt;ASSETATTRID&gt;PMOBRAB21&lt;/ASSETATTRID&gt;&lt;/CLASSSPEC&gt;</v>
      </c>
      <c r="H23" s="61"/>
      <c r="I23" s="61"/>
      <c r="J23" s="61"/>
      <c r="K23"/>
      <c r="M23" s="61"/>
    </row>
    <row r="24" spans="1:13" ht="15.75" customHeight="1">
      <c r="A24" s="144"/>
      <c r="B24" s="114" t="s">
        <v>419</v>
      </c>
      <c r="C24" s="115" t="s">
        <v>39</v>
      </c>
      <c r="D24" s="108" t="s">
        <v>50</v>
      </c>
      <c r="E24" s="109" t="s">
        <v>656</v>
      </c>
      <c r="G24" t="str">
        <f t="shared" si="0"/>
        <v>&lt;CLASSSPEC&gt;&lt;SECTION/&gt;&lt;ALNVALUE&gt;прокладки под подкладки (т.шт)&lt;/ALNVALUE&gt;&lt;ASSETATTRID&gt;PMOBRAB22&lt;/ASSETATTRID&gt;&lt;/CLASSSPEC&gt;</v>
      </c>
      <c r="H24" s="61"/>
      <c r="I24" s="61"/>
      <c r="J24" s="61"/>
      <c r="K24"/>
      <c r="M24" s="61"/>
    </row>
    <row r="25" spans="1:13" ht="15.75" customHeight="1">
      <c r="A25" s="145"/>
      <c r="B25" s="114" t="s">
        <v>419</v>
      </c>
      <c r="C25" s="116" t="s">
        <v>658</v>
      </c>
      <c r="D25" s="103"/>
      <c r="E25" s="104" t="s">
        <v>660</v>
      </c>
      <c r="G25" t="str">
        <f t="shared" si="0"/>
        <v>&lt;CLASSSPEC&gt;&lt;SECTION/&gt;&lt;ALNVALUE&gt;Количество неуд. км&lt;/ALNVALUE&gt;&lt;ASSETATTRID&gt;PMOBRAB24&lt;/ASSETATTRID&gt;&lt;/CLASSSPEC&gt;</v>
      </c>
      <c r="H25" s="61"/>
      <c r="I25" s="61"/>
      <c r="J25" s="61"/>
      <c r="K25"/>
      <c r="M25" s="61"/>
    </row>
    <row r="26" spans="1:13" ht="15.75" customHeight="1">
      <c r="A26" s="145"/>
      <c r="B26" s="114" t="s">
        <v>419</v>
      </c>
      <c r="C26" s="116" t="s">
        <v>659</v>
      </c>
      <c r="D26" s="103"/>
      <c r="E26" s="104" t="s">
        <v>661</v>
      </c>
      <c r="G26" t="str">
        <f>"&lt;CLASSSPEC&gt;&lt;SECTION/&gt;&lt;ALNVALUE&gt;"&amp;C26&amp;"&lt;/ALNVALUE&gt;&lt;ASSETATTRID&gt;"&amp;E26&amp;"&lt;/ASSETATTRID&gt;&lt;/CLASSSPEC&gt;"</f>
        <v>&lt;CLASSSPEC&gt;&lt;SECTION/&gt;&lt;ALNVALUE&gt;Количество неисправностей 2/3 степени&lt;/ALNVALUE&gt;&lt;ASSETATTRID&gt;PMOBRAB25&lt;/ASSETATTRID&gt;&lt;/CLASSSPEC&gt;</v>
      </c>
      <c r="H26" s="61"/>
      <c r="I26" s="61"/>
      <c r="J26" s="61"/>
      <c r="K26"/>
      <c r="M26" s="61"/>
    </row>
    <row r="27" spans="1:13" ht="16.5" customHeight="1" thickBot="1">
      <c r="A27" s="146"/>
      <c r="B27" s="117" t="s">
        <v>419</v>
      </c>
      <c r="C27" s="118" t="s">
        <v>40</v>
      </c>
      <c r="D27" s="60" t="s">
        <v>51</v>
      </c>
      <c r="E27" s="111" t="s">
        <v>657</v>
      </c>
      <c r="G27" t="str">
        <f>"&lt;CLASSSPEC&gt;&lt;SECTION/&gt;&lt;ALNVALUE&gt;"&amp;C27&amp;"&lt;/ALNVALUE&gt;&lt;ASSETATTRID&gt;"&amp;E27&amp;"&lt;/ASSETATTRID&gt;&lt;/CLASSSPEC&gt;&lt;/CLASSSTRUCTURE&gt;"</f>
        <v>&lt;CLASSSPEC&gt;&lt;SECTION/&gt;&lt;ALNVALUE&gt;прокладки под подошву рельса (т.шт)&lt;/ALNVALUE&gt;&lt;ASSETATTRID&gt;PMOBRAB23&lt;/ASSETATTRID&gt;&lt;/CLASSSPEC&gt;&lt;/CLASSSTRUCTURE&gt;</v>
      </c>
      <c r="H27" s="61"/>
      <c r="I27" s="61"/>
      <c r="J27" s="61"/>
      <c r="K27"/>
      <c r="M27" s="61"/>
    </row>
    <row r="28" spans="1:13" ht="15.75">
      <c r="A28" s="131" t="s">
        <v>7</v>
      </c>
      <c r="B28" s="45" t="s">
        <v>420</v>
      </c>
      <c r="C28" s="7" t="s">
        <v>5</v>
      </c>
      <c r="D28" s="7" t="s">
        <v>6</v>
      </c>
      <c r="E28" s="8" t="s">
        <v>6</v>
      </c>
      <c r="G28" s="61" t="str">
        <f>"&lt;CLASSSTRUCTURE&gt;&lt;CLASSSTRUCTUREID&gt;"&amp;B29&amp;"&lt;/CLASSSTRUCTUREID&gt;"</f>
        <v>&lt;CLASSSTRUCTURE&gt;&lt;CLASSSTRUCTUREID&gt;090000070802&lt;/CLASSSTRUCTUREID&gt;</v>
      </c>
      <c r="H28" s="61"/>
      <c r="I28" s="61"/>
      <c r="J28" s="61"/>
      <c r="K28"/>
      <c r="M28" s="61"/>
    </row>
    <row r="29" spans="1:13" ht="15.75">
      <c r="A29" s="127"/>
      <c r="B29" s="41" t="s">
        <v>420</v>
      </c>
      <c r="C29" s="32" t="s">
        <v>579</v>
      </c>
      <c r="D29" s="32"/>
      <c r="E29" s="9" t="s">
        <v>635</v>
      </c>
      <c r="G29" t="str">
        <f>"&lt;CLASSSPEC&gt;&lt;SECTION/&gt;&lt;ALNVALUE&gt;"&amp;C29&amp;"&lt;/ALNVALUE&gt;&lt;ASSETATTRID&gt;"&amp;E29&amp;"&lt;/ASSETATTRID&gt;&lt;/CLASSSPEC&gt;"</f>
        <v>&lt;CLASSSPEC&gt;&lt;SECTION/&gt;&lt;ALNVALUE&gt;в т.ч. с применением технологии ВПИ-Навигатор, всего, км.&lt;/ALNVALUE&gt;&lt;ASSETATTRID&gt;PMOBRAB01&lt;/ASSETATTRID&gt;&lt;/CLASSSPEC&gt;</v>
      </c>
      <c r="H29" s="61"/>
      <c r="I29" s="61"/>
      <c r="J29" s="61"/>
      <c r="K29"/>
      <c r="M29" s="61"/>
    </row>
    <row r="30" spans="1:13" ht="15.75">
      <c r="A30" s="127"/>
      <c r="B30" s="41" t="s">
        <v>420</v>
      </c>
      <c r="C30" s="6" t="s">
        <v>12</v>
      </c>
      <c r="D30" s="6" t="s">
        <v>21</v>
      </c>
      <c r="E30" s="9" t="s">
        <v>636</v>
      </c>
      <c r="G30" t="str">
        <f t="shared" ref="G30:G31" si="1">"&lt;CLASSSPEC&gt;&lt;SECTION/&gt;&lt;ALNVALUE&gt;"&amp;C30&amp;"&lt;/ALNVALUE&gt;&lt;ASSETATTRID&gt;"&amp;E30&amp;"&lt;/ASSETATTRID&gt;&lt;/CLASSSPEC&gt;"</f>
        <v>&lt;CLASSSPEC&gt;&lt;SECTION/&gt;&lt;ALNVALUE&gt;В т.ч. ВПР&lt;/ALNVALUE&gt;&lt;ASSETATTRID&gt;PMOBRAB02&lt;/ASSETATTRID&gt;&lt;/CLASSSPEC&gt;</v>
      </c>
      <c r="H30" s="61"/>
      <c r="I30" s="61"/>
      <c r="J30" s="61"/>
      <c r="K30"/>
      <c r="M30" s="61"/>
    </row>
    <row r="31" spans="1:13" ht="15.75">
      <c r="A31" s="127"/>
      <c r="B31" s="41" t="s">
        <v>420</v>
      </c>
      <c r="C31" s="6" t="s">
        <v>11</v>
      </c>
      <c r="D31" s="6" t="s">
        <v>29</v>
      </c>
      <c r="E31" s="9" t="s">
        <v>637</v>
      </c>
      <c r="G31" t="str">
        <f t="shared" si="1"/>
        <v>&lt;CLASSSPEC&gt;&lt;SECTION/&gt;&lt;ALNVALUE&gt;В т.ч. ДМ&lt;/ALNVALUE&gt;&lt;ASSETATTRID&gt;PMOBRAB03&lt;/ASSETATTRID&gt;&lt;/CLASSSPEC&gt;</v>
      </c>
      <c r="H31" s="61"/>
      <c r="I31" s="61"/>
      <c r="J31" s="61"/>
      <c r="K31"/>
      <c r="M31" s="61"/>
    </row>
    <row r="32" spans="1:13" ht="16.5" thickBot="1">
      <c r="A32" s="128"/>
      <c r="B32" s="46" t="s">
        <v>420</v>
      </c>
      <c r="C32" s="10" t="s">
        <v>52</v>
      </c>
      <c r="D32" s="10" t="s">
        <v>41</v>
      </c>
      <c r="E32" s="11" t="s">
        <v>638</v>
      </c>
      <c r="G32" t="str">
        <f>"&lt;CLASSSPEC&gt;&lt;SECTION/&gt;&lt;ALNVALUE&gt;"&amp;C32&amp;"&lt;/ALNVALUE&gt;&lt;ASSETATTRID&gt;"&amp;E32&amp;"&lt;/ASSETATTRID&gt;&lt;/CLASSSPEC&gt;&lt;/CLASSSTRUCTURE&gt;"</f>
        <v>&lt;CLASSSPEC&gt;&lt;SECTION/&gt;&lt;ALNVALUE&gt;В т.ч. ВПО&lt;/ALNVALUE&gt;&lt;ASSETATTRID&gt;PMOBRAB04&lt;/ASSETATTRID&gt;&lt;/CLASSSPEC&gt;&lt;/CLASSSTRUCTURE&gt;</v>
      </c>
      <c r="H32" s="61"/>
      <c r="I32" s="61"/>
      <c r="J32" s="61"/>
      <c r="K32"/>
      <c r="M32" s="61"/>
    </row>
    <row r="33" spans="1:13" ht="15.75">
      <c r="A33" s="131" t="s">
        <v>9</v>
      </c>
      <c r="B33" s="45" t="s">
        <v>421</v>
      </c>
      <c r="C33" s="7" t="s">
        <v>8</v>
      </c>
      <c r="D33" s="7" t="s">
        <v>6</v>
      </c>
      <c r="E33" s="8" t="s">
        <v>6</v>
      </c>
      <c r="G33" s="61" t="str">
        <f>"&lt;CLASSSTRUCTURE&gt;&lt;CLASSSTRUCTUREID&gt;"&amp;B34&amp;"&lt;/CLASSSTRUCTUREID&gt;"</f>
        <v>&lt;CLASSSTRUCTURE&gt;&lt;CLASSSTRUCTUREID&gt;090000070804&lt;/CLASSSTRUCTUREID&gt;</v>
      </c>
      <c r="H33" s="61"/>
      <c r="I33" s="61"/>
      <c r="J33" s="61"/>
      <c r="K33"/>
      <c r="M33" s="61"/>
    </row>
    <row r="34" spans="1:13" ht="15.75" customHeight="1">
      <c r="A34" s="127"/>
      <c r="B34" s="41" t="s">
        <v>421</v>
      </c>
      <c r="C34" s="6" t="s">
        <v>53</v>
      </c>
      <c r="D34" s="6" t="s">
        <v>47</v>
      </c>
      <c r="E34" s="9" t="s">
        <v>635</v>
      </c>
      <c r="G34" t="str">
        <f>"&lt;CLASSSPEC&gt;&lt;SECTION/&gt;&lt;ALNVALUE&gt;"&amp;C34&amp;"&lt;/ALNVALUE&gt;&lt;ASSETATTRID&gt;"&amp;E34&amp;"&lt;/ASSETATTRID&gt;&lt;/CLASSSPEC&gt;"</f>
        <v>&lt;CLASSSPEC&gt;&lt;SECTION/&gt;&lt;ALNVALUE&gt;В т. ч. ВПРС&lt;/ALNVALUE&gt;&lt;ASSETATTRID&gt;PMOBRAB01&lt;/ASSETATTRID&gt;&lt;/CLASSSPEC&gt;</v>
      </c>
      <c r="H34" s="61"/>
      <c r="I34" s="61"/>
      <c r="J34" s="61"/>
      <c r="K34"/>
      <c r="M34" s="61"/>
    </row>
    <row r="35" spans="1:13" ht="15.75" customHeight="1">
      <c r="A35" s="127"/>
      <c r="B35" s="41" t="s">
        <v>421</v>
      </c>
      <c r="C35" s="6" t="s">
        <v>54</v>
      </c>
      <c r="D35" s="6" t="s">
        <v>46</v>
      </c>
      <c r="E35" s="9" t="s">
        <v>636</v>
      </c>
      <c r="G35" t="str">
        <f t="shared" ref="G35:G40" si="2">"&lt;CLASSSPEC&gt;&lt;SECTION/&gt;&lt;ALNVALUE&gt;"&amp;C35&amp;"&lt;/ALNVALUE&gt;&lt;ASSETATTRID&gt;"&amp;E35&amp;"&lt;/ASSETATTRID&gt;&lt;/CLASSSPEC&gt;"</f>
        <v>&lt;CLASSSPEC&gt;&lt;SECTION/&gt;&lt;ALNVALUE&gt;В т. ч. УНИМАТ&lt;/ALNVALUE&gt;&lt;ASSETATTRID&gt;PMOBRAB02&lt;/ASSETATTRID&gt;&lt;/CLASSSPEC&gt;</v>
      </c>
      <c r="H35" s="61"/>
      <c r="I35" s="61"/>
      <c r="J35" s="61"/>
      <c r="K35"/>
      <c r="M35" s="61"/>
    </row>
    <row r="36" spans="1:13" ht="15.75" customHeight="1">
      <c r="A36" s="127"/>
      <c r="B36" s="41" t="s">
        <v>421</v>
      </c>
      <c r="C36" s="6" t="s">
        <v>55</v>
      </c>
      <c r="D36" s="6" t="s">
        <v>21</v>
      </c>
      <c r="E36" s="9" t="s">
        <v>637</v>
      </c>
      <c r="G36" t="str">
        <f t="shared" si="2"/>
        <v>&lt;CLASSSPEC&gt;&lt;SECTION/&gt;&lt;ALNVALUE&gt;Одиночная смена переводных брусьев (шт.)&lt;/ALNVALUE&gt;&lt;ASSETATTRID&gt;PMOBRAB03&lt;/ASSETATTRID&gt;&lt;/CLASSSPEC&gt;</v>
      </c>
      <c r="H36" s="61"/>
      <c r="I36" s="61"/>
      <c r="J36" s="61"/>
      <c r="K36"/>
      <c r="M36" s="61"/>
    </row>
    <row r="37" spans="1:13" ht="15.75" customHeight="1">
      <c r="A37" s="127"/>
      <c r="B37" s="41" t="s">
        <v>421</v>
      </c>
      <c r="C37" s="6" t="s">
        <v>56</v>
      </c>
      <c r="D37" s="6" t="s">
        <v>29</v>
      </c>
      <c r="E37" s="9" t="s">
        <v>638</v>
      </c>
      <c r="G37" t="str">
        <f t="shared" si="2"/>
        <v>&lt;CLASSSPEC&gt;&lt;SECTION/&gt;&lt;ALNVALUE&gt;Костыли (тн)&lt;/ALNVALUE&gt;&lt;ASSETATTRID&gt;PMOBRAB04&lt;/ASSETATTRID&gt;&lt;/CLASSSPEC&gt;</v>
      </c>
      <c r="H37" s="61"/>
      <c r="I37" s="61"/>
      <c r="J37" s="61"/>
      <c r="K37"/>
      <c r="M37" s="61"/>
    </row>
    <row r="38" spans="1:13" ht="15.75" customHeight="1">
      <c r="A38" s="127"/>
      <c r="B38" s="41" t="s">
        <v>421</v>
      </c>
      <c r="C38" s="6" t="s">
        <v>57</v>
      </c>
      <c r="D38" s="6" t="s">
        <v>41</v>
      </c>
      <c r="E38" s="9" t="s">
        <v>639</v>
      </c>
      <c r="G38" t="str">
        <f t="shared" si="2"/>
        <v>&lt;CLASSSPEC&gt;&lt;SECTION/&gt;&lt;ALNVALUE&gt;Шурупы (тн)&lt;/ALNVALUE&gt;&lt;ASSETATTRID&gt;PMOBRAB05&lt;/ASSETATTRID&gt;&lt;/CLASSSPEC&gt;</v>
      </c>
      <c r="H38" s="61"/>
      <c r="I38" s="61"/>
      <c r="J38" s="61"/>
      <c r="K38"/>
      <c r="M38" s="61"/>
    </row>
    <row r="39" spans="1:13" ht="15.75" customHeight="1">
      <c r="A39" s="127"/>
      <c r="B39" s="41" t="s">
        <v>421</v>
      </c>
      <c r="C39" s="6" t="s">
        <v>58</v>
      </c>
      <c r="D39" s="6" t="s">
        <v>42</v>
      </c>
      <c r="E39" s="9" t="s">
        <v>640</v>
      </c>
      <c r="G39" t="str">
        <f t="shared" si="2"/>
        <v>&lt;CLASSSPEC&gt;&lt;SECTION/&gt;&lt;ALNVALUE&gt;Накладки (тн)&lt;/ALNVALUE&gt;&lt;ASSETATTRID&gt;PMOBRAB06&lt;/ASSETATTRID&gt;&lt;/CLASSSPEC&gt;</v>
      </c>
      <c r="H39" s="61"/>
      <c r="I39" s="61"/>
      <c r="J39" s="61"/>
      <c r="K39"/>
      <c r="M39" s="61"/>
    </row>
    <row r="40" spans="1:13" ht="15.75" customHeight="1">
      <c r="A40" s="127"/>
      <c r="B40" s="41" t="s">
        <v>421</v>
      </c>
      <c r="C40" s="6" t="s">
        <v>59</v>
      </c>
      <c r="D40" s="6" t="s">
        <v>43</v>
      </c>
      <c r="E40" s="9" t="s">
        <v>641</v>
      </c>
      <c r="G40" t="str">
        <f t="shared" si="2"/>
        <v>&lt;CLASSSPEC&gt;&lt;SECTION/&gt;&lt;ALNVALUE&gt;Болты стыковые с гайками (тн)&lt;/ALNVALUE&gt;&lt;ASSETATTRID&gt;PMOBRAB07&lt;/ASSETATTRID&gt;&lt;/CLASSSPEC&gt;</v>
      </c>
      <c r="H40" s="61"/>
      <c r="I40" s="61"/>
      <c r="J40" s="61"/>
      <c r="K40"/>
      <c r="M40" s="61"/>
    </row>
    <row r="41" spans="1:13" ht="15.75" customHeight="1">
      <c r="A41" s="127"/>
      <c r="B41" s="41" t="s">
        <v>421</v>
      </c>
      <c r="C41" s="6" t="s">
        <v>61</v>
      </c>
      <c r="D41" s="6" t="s">
        <v>44</v>
      </c>
      <c r="E41" s="9" t="s">
        <v>642</v>
      </c>
      <c r="G41" t="str">
        <f>"&lt;CLASSSPEC&gt;&lt;SECTION/&gt;&lt;ALNVALUE&gt;"&amp;C41&amp;"&lt;/ALNVALUE&gt;&lt;ASSETATTRID&gt;"&amp;E41&amp;"&lt;/ASSETATTRID&gt;&lt;/CLASSSPEC&gt;"</f>
        <v>&lt;CLASSSPEC&gt;&lt;SECTION/&gt;&lt;ALNVALUE&gt;Подкладки (тн)&lt;/ALNVALUE&gt;&lt;ASSETATTRID&gt;PMOBRAB08&lt;/ASSETATTRID&gt;&lt;/CLASSSPEC&gt;</v>
      </c>
      <c r="H41" s="61"/>
      <c r="I41" s="61"/>
      <c r="J41" s="61"/>
      <c r="K41"/>
      <c r="M41" s="61"/>
    </row>
    <row r="42" spans="1:13" ht="16.5" customHeight="1" thickBot="1">
      <c r="A42" s="128"/>
      <c r="B42" s="46" t="s">
        <v>421</v>
      </c>
      <c r="C42" s="10" t="s">
        <v>60</v>
      </c>
      <c r="D42" s="10" t="s">
        <v>45</v>
      </c>
      <c r="E42" s="11" t="s">
        <v>643</v>
      </c>
      <c r="G42" t="str">
        <f>"&lt;CLASSSPEC&gt;&lt;SECTION/&gt;&lt;ALNVALUE&gt;"&amp;C42&amp;"&lt;/ALNVALUE&gt;&lt;ASSETATTRID&gt;"&amp;E42&amp;"&lt;/ASSETATTRID&gt;&lt;/CLASSSPEC&gt;&lt;/CLASSSTRUCTURE&gt;"</f>
        <v>&lt;CLASSSPEC&gt;&lt;SECTION/&gt;&lt;ALNVALUE&gt;Прокладки КБ (тыс. шт.)&lt;/ALNVALUE&gt;&lt;ASSETATTRID&gt;PMOBRAB09&lt;/ASSETATTRID&gt;&lt;/CLASSSPEC&gt;&lt;/CLASSSTRUCTURE&gt;</v>
      </c>
      <c r="H42" s="61"/>
      <c r="I42" s="61"/>
      <c r="J42" s="61"/>
      <c r="K42"/>
      <c r="M42" s="61"/>
    </row>
    <row r="43" spans="1:13" ht="16.5" customHeight="1" thickBot="1">
      <c r="A43" s="16" t="s">
        <v>575</v>
      </c>
      <c r="B43" s="40" t="s">
        <v>422</v>
      </c>
      <c r="C43" s="14" t="s">
        <v>601</v>
      </c>
      <c r="D43" s="14"/>
      <c r="E43" s="17" t="s">
        <v>635</v>
      </c>
      <c r="G43" t="str">
        <f>"&lt;CLASSSTRUCTURE&gt;&lt;CLASSSTRUCTUREID&gt;"&amp;B43&amp;"&lt;/CLASSSTRUCTUREID&gt;&lt;CLASSSPEC&gt;&lt;SECTION/&gt;&lt;ALNVALUE&gt;"&amp;C43&amp;"&lt;/ALNVALUE&gt;&lt;ASSETATTRID&gt;"&amp;E43&amp;"&lt;/ASSETATTRID&gt;&lt;/CLASSSPEC&gt;&lt;/CLASSSTRUCTURE&gt;"</f>
        <v>&lt;CLASSSTRUCTURE&gt;&lt;CLASSSTRUCTUREID&gt;090000070806&lt;/CLASSSTRUCTUREID&gt;&lt;CLASSSPEC&gt;&lt;SECTION/&gt;&lt;ALNVALUE&gt;В т.ч. с применением технологии "ВПИ-Навигатор"&lt;/ALNVALUE&gt;&lt;ASSETATTRID&gt;PMOBRAB01&lt;/ASSETATTRID&gt;&lt;/CLASSSPEC&gt;&lt;/CLASSSTRUCTURE&gt;</v>
      </c>
      <c r="H43" s="61"/>
      <c r="I43" s="61"/>
      <c r="J43" s="61"/>
      <c r="K43"/>
      <c r="M43" s="61"/>
    </row>
    <row r="44" spans="1:13" ht="15.75" customHeight="1">
      <c r="A44" s="127" t="s">
        <v>62</v>
      </c>
      <c r="B44" s="47" t="s">
        <v>423</v>
      </c>
      <c r="C44" s="32" t="s">
        <v>66</v>
      </c>
      <c r="D44" s="32" t="s">
        <v>21</v>
      </c>
      <c r="E44" s="33" t="s">
        <v>635</v>
      </c>
      <c r="G44" s="61" t="str">
        <f>"&lt;CLASSSTRUCTURE&gt;&lt;CLASSSTRUCTUREID&gt;"&amp;B45&amp;"&lt;/CLASSSTRUCTUREID&gt;&lt;CLASSSPEC&gt;&lt;SECTION/&gt;&lt;ALNVALUE&gt;"&amp;C44&amp;"&lt;/ALNVALUE&gt;&lt;ASSETATTRID&gt;"&amp;E44&amp;"&lt;/ASSETATTRID&gt;&lt;/CLASSSPEC&gt;"</f>
        <v>&lt;CLASSSTRUCTURE&gt;&lt;CLASSSTRUCTUREID&gt;090000070808&lt;/CLASSSTRUCTUREID&gt;&lt;CLASSSPEC&gt;&lt;SECTION/&gt;&lt;ALNVALUE&gt;cкреплением КД (шт.кривых)&lt;/ALNVALUE&gt;&lt;ASSETATTRID&gt;PMOBRAB01&lt;/ASSETATTRID&gt;&lt;/CLASSSPEC&gt;</v>
      </c>
      <c r="H44" s="61"/>
      <c r="I44" s="61"/>
      <c r="J44" s="61"/>
      <c r="K44"/>
      <c r="M44" s="61"/>
    </row>
    <row r="45" spans="1:13" ht="15.75" customHeight="1">
      <c r="A45" s="127"/>
      <c r="B45" s="47" t="s">
        <v>423</v>
      </c>
      <c r="C45" s="6" t="s">
        <v>67</v>
      </c>
      <c r="D45" s="6" t="s">
        <v>29</v>
      </c>
      <c r="E45" s="9" t="s">
        <v>636</v>
      </c>
      <c r="G45" t="str">
        <f>"&lt;CLASSSPEC&gt;&lt;SECTION/&gt;&lt;ALNVALUE&gt;"&amp;C45&amp;"&lt;/ALNVALUE&gt;&lt;ASSETATTRID&gt;"&amp;E45&amp;"&lt;/ASSETATTRID&gt;&lt;/CLASSSPEC&gt;"</f>
        <v>&lt;CLASSSPEC&gt;&lt;SECTION/&gt;&lt;ALNVALUE&gt;укладкой ж/б шпал (шт.кривых)&lt;/ALNVALUE&gt;&lt;ASSETATTRID&gt;PMOBRAB02&lt;/ASSETATTRID&gt;&lt;/CLASSSPEC&gt;</v>
      </c>
      <c r="H45" s="61"/>
      <c r="I45" s="61"/>
      <c r="J45" s="61"/>
      <c r="K45"/>
      <c r="M45" s="61"/>
    </row>
    <row r="46" spans="1:13" ht="15.75" customHeight="1">
      <c r="A46" s="127"/>
      <c r="B46" s="47" t="s">
        <v>423</v>
      </c>
      <c r="C46" s="6" t="s">
        <v>66</v>
      </c>
      <c r="D46" s="6" t="s">
        <v>41</v>
      </c>
      <c r="E46" s="9" t="s">
        <v>637</v>
      </c>
      <c r="G46" t="str">
        <f>"&lt;CLASSSPEC&gt;&lt;SECTION/&gt;&lt;ALNVALUE&gt;"&amp;C46&amp;"&lt;/ALNVALUE&gt;&lt;ASSETATTRID&gt;"&amp;E46&amp;"&lt;/ASSETATTRID&gt;&lt;/CLASSSPEC&gt;"</f>
        <v>&lt;CLASSSPEC&gt;&lt;SECTION/&gt;&lt;ALNVALUE&gt;cкреплением КД (шт.кривых)&lt;/ALNVALUE&gt;&lt;ASSETATTRID&gt;PMOBRAB03&lt;/ASSETATTRID&gt;&lt;/CLASSSPEC&gt;</v>
      </c>
      <c r="H46" s="61"/>
      <c r="I46" s="61"/>
      <c r="J46" s="61"/>
      <c r="K46"/>
      <c r="M46" s="61"/>
    </row>
    <row r="47" spans="1:13" ht="15.75" customHeight="1" thickBot="1">
      <c r="A47" s="128"/>
      <c r="B47" s="47" t="s">
        <v>423</v>
      </c>
      <c r="C47" s="12" t="s">
        <v>67</v>
      </c>
      <c r="D47" s="12" t="s">
        <v>42</v>
      </c>
      <c r="E47" s="13" t="s">
        <v>638</v>
      </c>
      <c r="G47" t="str">
        <f>"&lt;CLASSSPEC&gt;&lt;SECTION/&gt;&lt;ALNVALUE&gt;"&amp;C47&amp;"&lt;/ALNVALUE&gt;&lt;ASSETATTRID&gt;"&amp;E47&amp;"&lt;/ASSETATTRID&gt;&lt;/CLASSSPEC&gt;&lt;/CLASSSTRUCTURE&gt;"</f>
        <v>&lt;CLASSSPEC&gt;&lt;SECTION/&gt;&lt;ALNVALUE&gt;укладкой ж/б шпал (шт.кривых)&lt;/ALNVALUE&gt;&lt;ASSETATTRID&gt;PMOBRAB04&lt;/ASSETATTRID&gt;&lt;/CLASSSPEC&gt;&lt;/CLASSSTRUCTURE&gt;</v>
      </c>
      <c r="H47" s="61"/>
      <c r="I47" s="61"/>
      <c r="J47" s="61"/>
      <c r="K47"/>
      <c r="M47" s="61"/>
    </row>
    <row r="48" spans="1:13" ht="16.5" customHeight="1">
      <c r="A48" s="124" t="s">
        <v>63</v>
      </c>
      <c r="B48" s="47" t="s">
        <v>424</v>
      </c>
      <c r="C48" s="7" t="s">
        <v>64</v>
      </c>
      <c r="D48" s="7" t="s">
        <v>21</v>
      </c>
      <c r="E48" s="8" t="s">
        <v>635</v>
      </c>
      <c r="G48" s="61" t="str">
        <f>"&lt;CLASSSTRUCTURE&gt;&lt;CLASSSTRUCTUREID&gt;"&amp;B49&amp;"&lt;/CLASSSTRUCTUREID&gt;&lt;CLASSSPEC&gt;&lt;SECTION/&gt;&lt;ALNVALUE&gt;"&amp;C48&amp;"&lt;/ALNVALUE&gt;&lt;ASSETATTRID&gt;"&amp;E48&amp;"&lt;/ASSETATTRID&gt;&lt;/CLASSSPEC&gt;"</f>
        <v>&lt;CLASSSTRUCTURE&gt;&lt;CLASSSTRUCTUREID&gt;090000070811&lt;/CLASSSTRUCTUREID&gt;&lt;CLASSSPEC&gt;&lt;SECTION/&gt;&lt;ALNVALUE&gt;Скреплением КД (шт.кривых)&lt;/ALNVALUE&gt;&lt;ASSETATTRID&gt;PMOBRAB01&lt;/ASSETATTRID&gt;&lt;/CLASSSPEC&gt;</v>
      </c>
      <c r="H48" s="61"/>
      <c r="I48" s="61"/>
      <c r="J48" s="61"/>
      <c r="K48"/>
      <c r="M48" s="61"/>
    </row>
    <row r="49" spans="1:13" ht="16.5" thickBot="1">
      <c r="A49" s="126"/>
      <c r="B49" s="47" t="s">
        <v>424</v>
      </c>
      <c r="C49" s="10" t="s">
        <v>65</v>
      </c>
      <c r="D49" s="10" t="s">
        <v>29</v>
      </c>
      <c r="E49" s="11" t="s">
        <v>636</v>
      </c>
      <c r="G49" t="str">
        <f>"&lt;CLASSSPEC&gt;&lt;SECTION/&gt;&lt;ALNVALUE&gt;"&amp;C49&amp;"&lt;/ALNVALUE&gt;&lt;ASSETATTRID&gt;"&amp;E49&amp;"&lt;/ASSETATTRID&gt;&lt;/CLASSSPEC&gt;&lt;/CLASSSTRUCTURE&gt;"</f>
        <v>&lt;CLASSSPEC&gt;&lt;SECTION/&gt;&lt;ALNVALUE&gt;Скреплением ДН6-185С (шт.кривых)&lt;/ALNVALUE&gt;&lt;ASSETATTRID&gt;PMOBRAB02&lt;/ASSETATTRID&gt;&lt;/CLASSSPEC&gt;&lt;/CLASSSTRUCTURE&gt;</v>
      </c>
      <c r="H49" s="61"/>
      <c r="I49" s="61"/>
      <c r="J49" s="61"/>
      <c r="K49"/>
      <c r="M49" s="61"/>
    </row>
    <row r="50" spans="1:13" ht="15.75">
      <c r="A50" s="124" t="s">
        <v>68</v>
      </c>
      <c r="B50" s="23" t="s">
        <v>426</v>
      </c>
      <c r="C50" s="7" t="s">
        <v>69</v>
      </c>
      <c r="D50" s="7" t="s">
        <v>6</v>
      </c>
      <c r="E50" s="8" t="s">
        <v>6</v>
      </c>
      <c r="H50" s="61"/>
      <c r="I50" s="61"/>
      <c r="J50" s="61"/>
      <c r="K50"/>
      <c r="M50" s="61"/>
    </row>
    <row r="51" spans="1:13" ht="16.5" thickBot="1">
      <c r="A51" s="136"/>
      <c r="B51" s="23" t="s">
        <v>426</v>
      </c>
      <c r="C51" s="12" t="s">
        <v>70</v>
      </c>
      <c r="D51" s="12" t="s">
        <v>21</v>
      </c>
      <c r="E51" s="13" t="s">
        <v>21</v>
      </c>
      <c r="H51" s="61"/>
      <c r="I51" s="61"/>
      <c r="J51" s="61"/>
      <c r="K51"/>
      <c r="M51" s="61"/>
    </row>
    <row r="52" spans="1:13" ht="16.5" thickBot="1">
      <c r="A52" s="18" t="s">
        <v>71</v>
      </c>
      <c r="B52" s="23" t="s">
        <v>427</v>
      </c>
      <c r="C52" s="15" t="s">
        <v>5</v>
      </c>
      <c r="D52" s="15" t="s">
        <v>6</v>
      </c>
      <c r="E52" s="19" t="s">
        <v>6</v>
      </c>
      <c r="H52" s="61"/>
      <c r="I52" s="61"/>
      <c r="J52" s="61"/>
      <c r="K52"/>
      <c r="M52" s="61"/>
    </row>
    <row r="53" spans="1:13" ht="16.5" thickBot="1">
      <c r="A53" s="131" t="s">
        <v>72</v>
      </c>
      <c r="B53" s="38" t="s">
        <v>428</v>
      </c>
      <c r="C53" s="7" t="s">
        <v>5</v>
      </c>
      <c r="D53" s="7" t="s">
        <v>6</v>
      </c>
      <c r="E53" s="8" t="s">
        <v>6</v>
      </c>
      <c r="H53" s="61"/>
      <c r="I53" s="61"/>
      <c r="J53" s="61"/>
      <c r="K53"/>
      <c r="M53" s="61"/>
    </row>
    <row r="54" spans="1:13" ht="16.5" thickBot="1">
      <c r="A54" s="127"/>
      <c r="B54" s="38" t="s">
        <v>428</v>
      </c>
      <c r="C54" s="12" t="s">
        <v>54</v>
      </c>
      <c r="D54" s="12" t="s">
        <v>21</v>
      </c>
      <c r="E54" s="13" t="s">
        <v>635</v>
      </c>
      <c r="G54" t="str">
        <f>"&lt;CLASSSTRUCTURE&gt;&lt;CLASSSTRUCTUREID&gt;"&amp;B54&amp;"&lt;/CLASSSTRUCTUREID&gt;&lt;CLASSSPEC&gt;&lt;SECTION/&gt;&lt;ALNVALUE&gt;"&amp;C54&amp;"&lt;/ALNVALUE&gt;&lt;ASSETATTRID&gt;"&amp;E54&amp;"&lt;/ASSETATTRID&gt;&lt;/CLASSSPEC&gt;&lt;/CLASSSTRUCTURE&gt;"</f>
        <v>&lt;CLASSSTRUCTURE&gt;&lt;CLASSSTRUCTUREID&gt;090000074801&lt;/CLASSSTRUCTUREID&gt;&lt;CLASSSPEC&gt;&lt;SECTION/&gt;&lt;ALNVALUE&gt;В т. ч. УНИМАТ&lt;/ALNVALUE&gt;&lt;ASSETATTRID&gt;PMOBRAB01&lt;/ASSETATTRID&gt;&lt;/CLASSSPEC&gt;&lt;/CLASSSTRUCTURE&gt;</v>
      </c>
      <c r="H54" s="61"/>
      <c r="I54" s="61"/>
      <c r="J54" s="61"/>
      <c r="K54"/>
      <c r="M54" s="61"/>
    </row>
    <row r="55" spans="1:13" ht="16.5" customHeight="1" thickBot="1">
      <c r="A55" s="18" t="s">
        <v>73</v>
      </c>
      <c r="B55" s="23" t="s">
        <v>429</v>
      </c>
      <c r="C55" s="15" t="s">
        <v>74</v>
      </c>
      <c r="D55" s="15" t="s">
        <v>6</v>
      </c>
      <c r="E55" s="19" t="s">
        <v>6</v>
      </c>
      <c r="H55" s="61"/>
      <c r="I55" s="61"/>
      <c r="J55" s="61"/>
      <c r="K55"/>
      <c r="M55" s="61"/>
    </row>
    <row r="56" spans="1:13" ht="16.5" thickBot="1">
      <c r="A56" s="18" t="s">
        <v>75</v>
      </c>
      <c r="B56" s="23" t="s">
        <v>430</v>
      </c>
      <c r="C56" s="15" t="s">
        <v>74</v>
      </c>
      <c r="D56" s="15" t="s">
        <v>6</v>
      </c>
      <c r="E56" s="19" t="s">
        <v>6</v>
      </c>
      <c r="H56" s="61"/>
      <c r="I56" s="61"/>
      <c r="J56" s="61"/>
      <c r="K56"/>
      <c r="M56" s="61"/>
    </row>
    <row r="57" spans="1:13" ht="15.75">
      <c r="A57" s="124" t="s">
        <v>76</v>
      </c>
      <c r="B57" s="41" t="s">
        <v>431</v>
      </c>
      <c r="C57" s="7" t="s">
        <v>74</v>
      </c>
      <c r="D57" s="7" t="s">
        <v>6</v>
      </c>
      <c r="E57" s="8" t="s">
        <v>6</v>
      </c>
      <c r="G57" s="61" t="str">
        <f>"&lt;CLASSSTRUCTURE&gt;&lt;CLASSSTRUCTUREID&gt;"&amp;B58&amp;"&lt;/CLASSSTRUCTUREID&gt;"</f>
        <v>&lt;CLASSSTRUCTURE&gt;&lt;CLASSSTRUCTUREID&gt;090000070824&lt;/CLASSSTRUCTUREID&gt;</v>
      </c>
      <c r="H57" s="61"/>
      <c r="I57" s="61"/>
      <c r="J57" s="61"/>
      <c r="K57"/>
      <c r="M57" s="61"/>
    </row>
    <row r="58" spans="1:13" ht="15.75">
      <c r="A58" s="135"/>
      <c r="B58" s="41" t="s">
        <v>431</v>
      </c>
      <c r="C58" s="32" t="s">
        <v>576</v>
      </c>
      <c r="D58" s="32"/>
      <c r="E58" s="9" t="s">
        <v>635</v>
      </c>
      <c r="G58" t="str">
        <f>"&lt;CLASSSPEC&gt;&lt;SECTION/&gt;&lt;ALNVALUE&gt;"&amp;C58&amp;"&lt;/ALNVALUE&gt;&lt;ASSETATTRID&gt;"&amp;E58&amp;"&lt;/ASSETATTRID&gt;&lt;/CLASSSPEC&gt;"</f>
        <v>&lt;CLASSSPEC&gt;&lt;SECTION/&gt;&lt;ALNVALUE&gt;Смена рельсов в кривых (км нити)&lt;/ALNVALUE&gt;&lt;ASSETATTRID&gt;PMOBRAB01&lt;/ASSETATTRID&gt;&lt;/CLASSSPEC&gt;</v>
      </c>
      <c r="H58" s="61"/>
      <c r="I58" s="61"/>
      <c r="J58" s="61"/>
      <c r="K58"/>
      <c r="M58" s="61"/>
    </row>
    <row r="59" spans="1:13" ht="16.5" customHeight="1">
      <c r="A59" s="125"/>
      <c r="B59" s="41" t="s">
        <v>431</v>
      </c>
      <c r="C59" s="6" t="s">
        <v>77</v>
      </c>
      <c r="D59" s="6" t="s">
        <v>21</v>
      </c>
      <c r="E59" s="9" t="s">
        <v>636</v>
      </c>
      <c r="G59" t="str">
        <f>"&lt;CLASSSPEC&gt;&lt;SECTION/&gt;&lt;ALNVALUE&gt;"&amp;C59&amp;"&lt;/ALNVALUE&gt;&lt;ASSETATTRID&gt;"&amp;E59&amp;"&lt;/ASSETATTRID&gt;&lt;/CLASSSPEC&gt;"</f>
        <v>&lt;CLASSSPEC&gt;&lt;SECTION/&gt;&lt;ALNVALUE&gt;В т.ч. со сменой рабочего канта (км нити)&lt;/ALNVALUE&gt;&lt;ASSETATTRID&gt;PMOBRAB02&lt;/ASSETATTRID&gt;&lt;/CLASSSPEC&gt;</v>
      </c>
      <c r="H59" s="61"/>
      <c r="I59" s="61"/>
      <c r="J59" s="61"/>
      <c r="K59"/>
      <c r="M59" s="61"/>
    </row>
    <row r="60" spans="1:13" ht="15.75">
      <c r="A60" s="125"/>
      <c r="B60" s="41" t="s">
        <v>431</v>
      </c>
      <c r="C60" s="6" t="s">
        <v>78</v>
      </c>
      <c r="D60" s="6" t="s">
        <v>29</v>
      </c>
      <c r="E60" s="9" t="s">
        <v>637</v>
      </c>
      <c r="G60" t="str">
        <f t="shared" ref="G60" si="3">"&lt;CLASSSPEC&gt;&lt;SECTION/&gt;&lt;ALNVALUE&gt;"&amp;C60&amp;"&lt;/ALNVALUE&gt;&lt;ASSETATTRID&gt;"&amp;E60&amp;"&lt;/ASSETATTRID&gt;&lt;/CLASSSPEC&gt;"</f>
        <v>&lt;CLASSSPEC&gt;&lt;SECTION/&gt;&lt;ALNVALUE&gt;Смена рельсов в прямых участках пути (км нити)&lt;/ALNVALUE&gt;&lt;ASSETATTRID&gt;PMOBRAB03&lt;/ASSETATTRID&gt;&lt;/CLASSSPEC&gt;</v>
      </c>
      <c r="H60" s="61"/>
      <c r="I60" s="61"/>
      <c r="J60" s="61"/>
      <c r="K60"/>
      <c r="M60" s="61"/>
    </row>
    <row r="61" spans="1:13" ht="16.5" thickBot="1">
      <c r="A61" s="136"/>
      <c r="B61" s="41" t="s">
        <v>431</v>
      </c>
      <c r="C61" s="12" t="s">
        <v>79</v>
      </c>
      <c r="D61" s="12" t="s">
        <v>41</v>
      </c>
      <c r="E61" s="9" t="s">
        <v>638</v>
      </c>
      <c r="G61" t="str">
        <f>"&lt;CLASSSPEC&gt;&lt;SECTION/&gt;&lt;ALNVALUE&gt;"&amp;C61&amp;"&lt;/ALNVALUE&gt;&lt;ASSETATTRID&gt;"&amp;E61&amp;"&lt;/ASSETATTRID&gt;&lt;/CLASSSPEC&gt;&lt;/CLASSSTRUCTURE&gt;"</f>
        <v>&lt;CLASSSPEC&gt;&lt;SECTION/&gt;&lt;ALNVALUE&gt;В т.ч. с переменой рабочего канта (км нити)&lt;/ALNVALUE&gt;&lt;ASSETATTRID&gt;PMOBRAB04&lt;/ASSETATTRID&gt;&lt;/CLASSSPEC&gt;&lt;/CLASSSTRUCTURE&gt;</v>
      </c>
      <c r="H61" s="61"/>
      <c r="I61" s="61"/>
      <c r="J61" s="61"/>
      <c r="K61"/>
      <c r="M61" s="61"/>
    </row>
    <row r="62" spans="1:13" ht="15.75">
      <c r="A62" s="124" t="s">
        <v>80</v>
      </c>
      <c r="B62" s="23" t="s">
        <v>432</v>
      </c>
      <c r="C62" s="7" t="s">
        <v>587</v>
      </c>
      <c r="D62" s="7" t="s">
        <v>6</v>
      </c>
      <c r="E62" s="8" t="s">
        <v>6</v>
      </c>
      <c r="H62" s="61"/>
      <c r="I62" s="61"/>
      <c r="J62" s="61"/>
      <c r="K62"/>
      <c r="M62" s="61"/>
    </row>
    <row r="63" spans="1:13" ht="16.5" thickBot="1">
      <c r="A63" s="136"/>
      <c r="B63" s="50" t="s">
        <v>432</v>
      </c>
      <c r="C63" s="12" t="s">
        <v>588</v>
      </c>
      <c r="D63" s="12" t="s">
        <v>21</v>
      </c>
      <c r="E63" s="13" t="s">
        <v>21</v>
      </c>
      <c r="H63" s="61"/>
      <c r="I63" s="61"/>
      <c r="J63" s="61"/>
      <c r="K63"/>
      <c r="M63" s="61"/>
    </row>
    <row r="64" spans="1:13" ht="15.75">
      <c r="A64" s="124" t="s">
        <v>86</v>
      </c>
      <c r="B64" s="43" t="s">
        <v>433</v>
      </c>
      <c r="C64" s="7" t="s">
        <v>85</v>
      </c>
      <c r="D64" s="7" t="s">
        <v>6</v>
      </c>
      <c r="E64" s="8" t="s">
        <v>6</v>
      </c>
      <c r="G64" s="61" t="str">
        <f>"&lt;CLASSSTRUCTURE&gt;&lt;CLASSSTRUCTUREID&gt;"&amp;B65&amp;"&lt;/CLASSSTRUCTUREID&gt;"</f>
        <v>&lt;CLASSSTRUCTURE&gt;&lt;CLASSSTRUCTUREID&gt;090000070831&lt;/CLASSSTRUCTUREID&gt;</v>
      </c>
      <c r="H64" s="61"/>
      <c r="I64" s="61"/>
      <c r="J64" s="61"/>
      <c r="K64"/>
      <c r="M64" s="61"/>
    </row>
    <row r="65" spans="1:13" ht="15.75">
      <c r="A65" s="125"/>
      <c r="B65" s="42" t="s">
        <v>433</v>
      </c>
      <c r="C65" s="6" t="s">
        <v>81</v>
      </c>
      <c r="D65" s="6" t="s">
        <v>29</v>
      </c>
      <c r="E65" s="9" t="s">
        <v>635</v>
      </c>
      <c r="G65" t="str">
        <f>"&lt;CLASSSPEC&gt;&lt;SECTION/&gt;&lt;ALNVALUE&gt;"&amp;C65&amp;"&lt;/ALNVALUE&gt;&lt;ASSETATTRID&gt;"&amp;E65&amp;"&lt;/ASSETATTRID&gt;&lt;/CLASSSPEC&gt;"</f>
        <v>&lt;CLASSSPEC&gt;&lt;SECTION/&gt;&lt;ALNVALUE&gt;В т.ч. сварка плетей длиной в блок-участок, стык&lt;/ALNVALUE&gt;&lt;ASSETATTRID&gt;PMOBRAB01&lt;/ASSETATTRID&gt;&lt;/CLASSSPEC&gt;</v>
      </c>
      <c r="H65" s="61"/>
      <c r="I65" s="61"/>
      <c r="J65" s="61"/>
      <c r="K65"/>
      <c r="M65" s="61"/>
    </row>
    <row r="66" spans="1:13" ht="15.75">
      <c r="A66" s="125"/>
      <c r="B66" s="42" t="s">
        <v>433</v>
      </c>
      <c r="C66" s="6" t="s">
        <v>82</v>
      </c>
      <c r="D66" s="6" t="s">
        <v>41</v>
      </c>
      <c r="E66" s="9" t="s">
        <v>636</v>
      </c>
      <c r="G66" t="str">
        <f t="shared" ref="G66:G68" si="4">"&lt;CLASSSPEC&gt;&lt;SECTION/&gt;&lt;ALNVALUE&gt;"&amp;C66&amp;"&lt;/ALNVALUE&gt;&lt;ASSETATTRID&gt;"&amp;E66&amp;"&lt;/ASSETATTRID&gt;&lt;/CLASSSPEC&gt;"</f>
        <v>&lt;CLASSSPEC&gt;&lt;SECTION/&gt;&lt;ALNVALUE&gt;В т.ч. сварка плетей длиной в перегон, стык&lt;/ALNVALUE&gt;&lt;ASSETATTRID&gt;PMOBRAB02&lt;/ASSETATTRID&gt;&lt;/CLASSSPEC&gt;</v>
      </c>
      <c r="H66" s="61"/>
      <c r="I66" s="61"/>
      <c r="J66" s="61"/>
      <c r="K66"/>
      <c r="M66" s="61"/>
    </row>
    <row r="67" spans="1:13" ht="15.75">
      <c r="A67" s="125"/>
      <c r="B67" s="42" t="s">
        <v>433</v>
      </c>
      <c r="C67" s="6" t="s">
        <v>83</v>
      </c>
      <c r="D67" s="6" t="s">
        <v>42</v>
      </c>
      <c r="E67" s="9" t="s">
        <v>637</v>
      </c>
      <c r="G67" t="str">
        <f t="shared" si="4"/>
        <v>&lt;CLASSSPEC&gt;&lt;SECTION/&gt;&lt;ALNVALUE&gt;В т.ч. ликвидация мест временного восстановления плетей, стык&lt;/ALNVALUE&gt;&lt;ASSETATTRID&gt;PMOBRAB03&lt;/ASSETATTRID&gt;&lt;/CLASSSPEC&gt;</v>
      </c>
      <c r="H67" s="61"/>
      <c r="I67" s="61"/>
      <c r="J67" s="61"/>
      <c r="K67"/>
      <c r="M67" s="61"/>
    </row>
    <row r="68" spans="1:13" ht="15.75">
      <c r="A68" s="125"/>
      <c r="B68" s="42" t="s">
        <v>433</v>
      </c>
      <c r="C68" s="6" t="s">
        <v>84</v>
      </c>
      <c r="D68" s="6" t="s">
        <v>21</v>
      </c>
      <c r="E68" s="9" t="s">
        <v>638</v>
      </c>
      <c r="G68" t="str">
        <f t="shared" si="4"/>
        <v>&lt;CLASSSPEC&gt;&lt;SECTION/&gt;&lt;ALNVALUE&gt;На участках работ комплексами путевых машин, стык&lt;/ALNVALUE&gt;&lt;ASSETATTRID&gt;PMOBRAB04&lt;/ASSETATTRID&gt;&lt;/CLASSSPEC&gt;</v>
      </c>
      <c r="H68" s="61"/>
      <c r="I68" s="61"/>
      <c r="J68" s="61"/>
      <c r="K68"/>
      <c r="M68" s="61"/>
    </row>
    <row r="69" spans="1:13" ht="15.75">
      <c r="A69" s="125"/>
      <c r="B69" s="42" t="s">
        <v>433</v>
      </c>
      <c r="C69" s="6" t="s">
        <v>13</v>
      </c>
      <c r="D69" s="6"/>
      <c r="E69" s="9" t="s">
        <v>639</v>
      </c>
      <c r="G69" t="str">
        <f>"&lt;CLASSSPEC&gt;&lt;SECTION/&gt;&lt;ALNVALUE&gt;"&amp;C69&amp;"&lt;/ALNVALUE&gt;&lt;ASSETATTRID&gt;"&amp;E69&amp;"&lt;/ASSETATTRID&gt;&lt;/CLASSSPEC&gt;"</f>
        <v>&lt;CLASSSPEC&gt;&lt;SECTION/&gt;&lt;ALNVALUE&gt;В т.ч. на звен.пути&lt;/ALNVALUE&gt;&lt;ASSETATTRID&gt;PMOBRAB05&lt;/ASSETATTRID&gt;&lt;/CLASSSPEC&gt;</v>
      </c>
      <c r="H69" s="61"/>
      <c r="I69" s="61"/>
      <c r="J69" s="61"/>
      <c r="K69"/>
      <c r="M69" s="61"/>
    </row>
    <row r="70" spans="1:13" ht="16.5" thickBot="1">
      <c r="A70" s="126"/>
      <c r="B70" s="44" t="s">
        <v>433</v>
      </c>
      <c r="C70" s="10" t="s">
        <v>14</v>
      </c>
      <c r="D70" s="10"/>
      <c r="E70" s="11" t="s">
        <v>640</v>
      </c>
      <c r="G70" t="str">
        <f>"&lt;CLASSSPEC&gt;&lt;SECTION/&gt;&lt;ALNVALUE&gt;"&amp;C70&amp;"&lt;/ALNVALUE&gt;&lt;ASSETATTRID&gt;"&amp;E70&amp;"&lt;/ASSETATTRID&gt;&lt;/CLASSSPEC&gt;&lt;/CLASSSTRUCTURE&gt;"</f>
        <v>&lt;CLASSSPEC&gt;&lt;SECTION/&gt;&lt;ALNVALUE&gt;В т.ч. на бесстыковом пути&lt;/ALNVALUE&gt;&lt;ASSETATTRID&gt;PMOBRAB06&lt;/ASSETATTRID&gt;&lt;/CLASSSPEC&gt;&lt;/CLASSSTRUCTURE&gt;</v>
      </c>
      <c r="H70" s="61"/>
      <c r="I70" s="61"/>
      <c r="J70" s="61"/>
      <c r="K70"/>
      <c r="M70" s="61"/>
    </row>
    <row r="71" spans="1:13" ht="15.75">
      <c r="A71" s="131" t="s">
        <v>87</v>
      </c>
      <c r="B71" s="41" t="s">
        <v>434</v>
      </c>
      <c r="C71" s="32" t="s">
        <v>85</v>
      </c>
      <c r="D71" s="32" t="s">
        <v>6</v>
      </c>
      <c r="E71" s="33" t="s">
        <v>6</v>
      </c>
      <c r="G71" s="61" t="str">
        <f>"&lt;CLASSSTRUCTURE&gt;&lt;CLASSSTRUCTUREID&gt;"&amp;B72&amp;"&lt;/CLASSSTRUCTUREID&gt;"</f>
        <v>&lt;CLASSSTRUCTURE&gt;&lt;CLASSSTRUCTUREID&gt;090000070832&lt;/CLASSSTRUCTUREID&gt;</v>
      </c>
      <c r="H71" s="61"/>
      <c r="I71" s="61"/>
      <c r="J71" s="61"/>
      <c r="K71"/>
      <c r="M71" s="61"/>
    </row>
    <row r="72" spans="1:13" ht="15.75">
      <c r="A72" s="127"/>
      <c r="B72" s="47" t="s">
        <v>434</v>
      </c>
      <c r="C72" s="6" t="s">
        <v>81</v>
      </c>
      <c r="D72" s="6" t="s">
        <v>29</v>
      </c>
      <c r="E72" s="9" t="s">
        <v>635</v>
      </c>
      <c r="G72" t="str">
        <f>"&lt;CLASSSPEC&gt;&lt;SECTION/&gt;&lt;ALNVALUE&gt;"&amp;C72&amp;"&lt;/ALNVALUE&gt;&lt;ASSETATTRID&gt;"&amp;E72&amp;"&lt;/ASSETATTRID&gt;&lt;/CLASSSPEC&gt;"</f>
        <v>&lt;CLASSSPEC&gt;&lt;SECTION/&gt;&lt;ALNVALUE&gt;В т.ч. сварка плетей длиной в блок-участок, стык&lt;/ALNVALUE&gt;&lt;ASSETATTRID&gt;PMOBRAB01&lt;/ASSETATTRID&gt;&lt;/CLASSSPEC&gt;</v>
      </c>
      <c r="H72" s="61"/>
      <c r="I72" s="61"/>
      <c r="J72" s="61"/>
      <c r="K72"/>
      <c r="M72" s="61"/>
    </row>
    <row r="73" spans="1:13" ht="15.75">
      <c r="A73" s="127"/>
      <c r="B73" s="47" t="s">
        <v>434</v>
      </c>
      <c r="C73" s="6" t="s">
        <v>82</v>
      </c>
      <c r="D73" s="6" t="s">
        <v>41</v>
      </c>
      <c r="E73" s="9" t="s">
        <v>636</v>
      </c>
      <c r="G73" t="str">
        <f t="shared" ref="G73:G75" si="5">"&lt;CLASSSPEC&gt;&lt;SECTION/&gt;&lt;ALNVALUE&gt;"&amp;C73&amp;"&lt;/ALNVALUE&gt;&lt;ASSETATTRID&gt;"&amp;E73&amp;"&lt;/ASSETATTRID&gt;&lt;/CLASSSPEC&gt;"</f>
        <v>&lt;CLASSSPEC&gt;&lt;SECTION/&gt;&lt;ALNVALUE&gt;В т.ч. сварка плетей длиной в перегон, стык&lt;/ALNVALUE&gt;&lt;ASSETATTRID&gt;PMOBRAB02&lt;/ASSETATTRID&gt;&lt;/CLASSSPEC&gt;</v>
      </c>
      <c r="H73" s="61"/>
      <c r="I73" s="61"/>
      <c r="J73" s="61"/>
      <c r="K73"/>
      <c r="M73" s="61"/>
    </row>
    <row r="74" spans="1:13" ht="15.75">
      <c r="A74" s="127"/>
      <c r="B74" s="47" t="s">
        <v>434</v>
      </c>
      <c r="C74" s="6" t="s">
        <v>83</v>
      </c>
      <c r="D74" s="6" t="s">
        <v>42</v>
      </c>
      <c r="E74" s="9" t="s">
        <v>637</v>
      </c>
      <c r="G74" t="str">
        <f t="shared" si="5"/>
        <v>&lt;CLASSSPEC&gt;&lt;SECTION/&gt;&lt;ALNVALUE&gt;В т.ч. ликвидация мест временного восстановления плетей, стык&lt;/ALNVALUE&gt;&lt;ASSETATTRID&gt;PMOBRAB03&lt;/ASSETATTRID&gt;&lt;/CLASSSPEC&gt;</v>
      </c>
      <c r="H74" s="61"/>
      <c r="I74" s="61"/>
      <c r="J74" s="61"/>
      <c r="K74"/>
      <c r="M74" s="61"/>
    </row>
    <row r="75" spans="1:13" ht="15.75">
      <c r="A75" s="127"/>
      <c r="B75" s="47" t="s">
        <v>434</v>
      </c>
      <c r="C75" s="12" t="s">
        <v>84</v>
      </c>
      <c r="D75" s="12" t="s">
        <v>21</v>
      </c>
      <c r="E75" s="13" t="s">
        <v>638</v>
      </c>
      <c r="G75" t="str">
        <f t="shared" si="5"/>
        <v>&lt;CLASSSPEC&gt;&lt;SECTION/&gt;&lt;ALNVALUE&gt;На участках работ комплексами путевых машин, стык&lt;/ALNVALUE&gt;&lt;ASSETATTRID&gt;PMOBRAB04&lt;/ASSETATTRID&gt;&lt;/CLASSSPEC&gt;</v>
      </c>
      <c r="H75" s="61"/>
      <c r="I75" s="61"/>
      <c r="J75" s="61"/>
      <c r="K75"/>
      <c r="M75" s="61"/>
    </row>
    <row r="76" spans="1:13" ht="15.75">
      <c r="A76" s="127"/>
      <c r="B76" s="47" t="s">
        <v>434</v>
      </c>
      <c r="C76" s="6" t="s">
        <v>13</v>
      </c>
      <c r="D76" s="6"/>
      <c r="E76" s="9" t="s">
        <v>639</v>
      </c>
      <c r="G76" t="str">
        <f>"&lt;CLASSSPEC&gt;&lt;SECTION/&gt;&lt;ALNVALUE&gt;"&amp;C76&amp;"&lt;/ALNVALUE&gt;&lt;ASSETATTRID&gt;"&amp;E76&amp;"&lt;/ASSETATTRID&gt;&lt;/CLASSSPEC&gt;"</f>
        <v>&lt;CLASSSPEC&gt;&lt;SECTION/&gt;&lt;ALNVALUE&gt;В т.ч. на звен.пути&lt;/ALNVALUE&gt;&lt;ASSETATTRID&gt;PMOBRAB05&lt;/ASSETATTRID&gt;&lt;/CLASSSPEC&gt;</v>
      </c>
      <c r="H76" s="61"/>
      <c r="I76" s="61"/>
      <c r="J76" s="61"/>
      <c r="K76"/>
      <c r="M76" s="61"/>
    </row>
    <row r="77" spans="1:13" ht="16.5" thickBot="1">
      <c r="A77" s="128"/>
      <c r="B77" s="47" t="s">
        <v>434</v>
      </c>
      <c r="C77" s="10" t="s">
        <v>14</v>
      </c>
      <c r="D77" s="10"/>
      <c r="E77" s="11" t="s">
        <v>640</v>
      </c>
      <c r="G77" t="str">
        <f>"&lt;CLASSSPEC&gt;&lt;SECTION/&gt;&lt;ALNVALUE&gt;"&amp;C77&amp;"&lt;/ALNVALUE&gt;&lt;ASSETATTRID&gt;"&amp;E77&amp;"&lt;/ASSETATTRID&gt;&lt;/CLASSSPEC&gt;&lt;/CLASSSTRUCTURE&gt;"</f>
        <v>&lt;CLASSSPEC&gt;&lt;SECTION/&gt;&lt;ALNVALUE&gt;В т.ч. на бесстыковом пути&lt;/ALNVALUE&gt;&lt;ASSETATTRID&gt;PMOBRAB06&lt;/ASSETATTRID&gt;&lt;/CLASSSPEC&gt;&lt;/CLASSSTRUCTURE&gt;</v>
      </c>
      <c r="H77" s="61"/>
      <c r="I77" s="61"/>
      <c r="J77" s="61"/>
      <c r="K77"/>
      <c r="M77" s="61"/>
    </row>
    <row r="78" spans="1:13" ht="16.5" thickBot="1">
      <c r="A78" s="140" t="s">
        <v>88</v>
      </c>
      <c r="B78" s="100" t="s">
        <v>435</v>
      </c>
      <c r="C78" s="56" t="s">
        <v>89</v>
      </c>
      <c r="D78" s="56" t="s">
        <v>6</v>
      </c>
      <c r="E78" s="101" t="s">
        <v>6</v>
      </c>
      <c r="H78" s="61"/>
      <c r="I78" s="61"/>
      <c r="J78" s="61"/>
      <c r="K78"/>
      <c r="M78" s="61"/>
    </row>
    <row r="79" spans="1:13" ht="15.75">
      <c r="A79" s="141"/>
      <c r="B79" s="102" t="s">
        <v>435</v>
      </c>
      <c r="C79" s="103" t="s">
        <v>90</v>
      </c>
      <c r="D79" s="103" t="s">
        <v>43</v>
      </c>
      <c r="E79" s="104" t="s">
        <v>635</v>
      </c>
      <c r="G79" t="str">
        <f>"&lt;CLASSSTRUCTURE&gt;&lt;CLASSSTRUCTUREID&gt;"&amp;B79&amp;"&lt;/CLASSSTRUCTUREID&gt;&lt;CLASSSPEC&gt;&lt;SECTION/&gt;&lt;ALNVALUE&gt;"&amp;C79&amp;"&lt;/ALNVALUE&gt;&lt;ASSETATTRID&gt;"&amp;E79&amp;"&lt;/ASSETATTRID&gt;&lt;/CLASSSPEC&gt;"</f>
        <v>&lt;CLASSSTRUCTURE&gt;&lt;CLASSSTRUCTUREID&gt;090000070833&lt;/CLASSSTRUCTUREID&gt;&lt;CLASSSPEC&gt;&lt;SECTION/&gt;&lt;ALNVALUE&gt;Количество кустов, выявленных при осеннем осмотре , шт.&lt;/ALNVALUE&gt;&lt;ASSETATTRID&gt;PMOBRAB01&lt;/ASSETATTRID&gt;&lt;/CLASSSPEC&gt;</v>
      </c>
      <c r="H79" s="61"/>
      <c r="I79" s="61"/>
      <c r="J79" s="61"/>
      <c r="K79"/>
      <c r="M79" s="61"/>
    </row>
    <row r="80" spans="1:13" ht="16.5" thickBot="1">
      <c r="A80" s="142"/>
      <c r="B80" s="105" t="s">
        <v>435</v>
      </c>
      <c r="C80" s="103" t="s">
        <v>662</v>
      </c>
      <c r="D80" s="103"/>
      <c r="E80" s="104" t="s">
        <v>636</v>
      </c>
      <c r="G80" t="str">
        <f>"&lt;CLASSSPEC&gt;&lt;SECTION/&gt;&lt;ALNVALUE&gt;"&amp;C80&amp;"&lt;/ALNVALUE&gt;&lt;ASSETATTRID&gt;"&amp;E80&amp;"&lt;/ASSETATTRID&gt;&lt;/CLASSSPEC&gt;&lt;/CLASSSTRUCTURE&gt;"</f>
        <v>&lt;CLASSSPEC&gt;&lt;SECTION/&gt;&lt;ALNVALUE&gt;% негодности шпал, всего&lt;/ALNVALUE&gt;&lt;ASSETATTRID&gt;PMOBRAB02&lt;/ASSETATTRID&gt;&lt;/CLASSSPEC&gt;&lt;/CLASSSTRUCTURE&gt;</v>
      </c>
      <c r="H80" s="61"/>
      <c r="I80" s="61"/>
      <c r="J80" s="61"/>
      <c r="K80"/>
      <c r="M80" s="61"/>
    </row>
    <row r="81" spans="1:13" ht="15.75">
      <c r="A81" s="137" t="s">
        <v>92</v>
      </c>
      <c r="B81" s="106" t="s">
        <v>436</v>
      </c>
      <c r="C81" s="56" t="s">
        <v>89</v>
      </c>
      <c r="D81" s="56" t="s">
        <v>6</v>
      </c>
      <c r="E81" s="101" t="s">
        <v>6</v>
      </c>
      <c r="H81" s="61"/>
      <c r="I81" s="61"/>
      <c r="J81" s="61"/>
      <c r="K81"/>
      <c r="M81" s="61"/>
    </row>
    <row r="82" spans="1:13" ht="15.75">
      <c r="A82" s="138"/>
      <c r="B82" s="107" t="s">
        <v>436</v>
      </c>
      <c r="C82" s="108" t="s">
        <v>91</v>
      </c>
      <c r="D82" s="108" t="s">
        <v>43</v>
      </c>
      <c r="E82" s="109" t="s">
        <v>635</v>
      </c>
      <c r="G82" t="str">
        <f>"&lt;CLASSSTRUCTURE&gt;&lt;CLASSSTRUCTUREID&gt;"&amp;B82&amp;"&lt;/CLASSSTRUCTUREID&gt;&lt;CLASSSPEC&gt;&lt;SECTION/&gt;&lt;ALNVALUE&gt;"&amp;C82&amp;"&lt;/ALNVALUE&gt;&lt;ASSETATTRID&gt;"&amp;E82&amp;"&lt;/ASSETATTRID&gt;&lt;/CLASSSPEC&gt;"</f>
        <v>&lt;CLASSSTRUCTURE&gt;&lt;CLASSSTRUCTUREID&gt;090000070834&lt;/CLASSSTRUCTUREID&gt;&lt;CLASSSPEC&gt;&lt;SECTION/&gt;&lt;ALNVALUE&gt;Количество кустов, выявленных при осеннем осмотре, шт., главный путь&lt;/ALNVALUE&gt;&lt;ASSETATTRID&gt;PMOBRAB01&lt;/ASSETATTRID&gt;&lt;/CLASSSPEC&gt;</v>
      </c>
      <c r="H82" s="61"/>
      <c r="I82" s="61"/>
      <c r="J82" s="61"/>
      <c r="K82"/>
      <c r="M82" s="61"/>
    </row>
    <row r="83" spans="1:13" ht="16.5" thickBot="1">
      <c r="A83" s="139"/>
      <c r="B83" s="110" t="s">
        <v>436</v>
      </c>
      <c r="C83" s="103" t="s">
        <v>662</v>
      </c>
      <c r="D83" s="103"/>
      <c r="E83" s="104" t="s">
        <v>636</v>
      </c>
      <c r="G83" t="str">
        <f>"&lt;CLASSSPEC&gt;&lt;SECTION/&gt;&lt;ALNVALUE&gt;"&amp;C83&amp;"&lt;/ALNVALUE&gt;&lt;ASSETATTRID&gt;"&amp;E83&amp;"&lt;/ASSETATTRID&gt;&lt;/CLASSSPEC&gt;&lt;/CLASSSTRUCTURE&gt;"</f>
        <v>&lt;CLASSSPEC&gt;&lt;SECTION/&gt;&lt;ALNVALUE&gt;% негодности шпал, всего&lt;/ALNVALUE&gt;&lt;ASSETATTRID&gt;PMOBRAB02&lt;/ASSETATTRID&gt;&lt;/CLASSSPEC&gt;&lt;/CLASSSTRUCTURE&gt;</v>
      </c>
      <c r="H83" s="61"/>
      <c r="I83" s="61"/>
      <c r="J83" s="61"/>
      <c r="K83"/>
      <c r="M83" s="61"/>
    </row>
    <row r="84" spans="1:13" ht="15.75">
      <c r="A84" s="137" t="s">
        <v>93</v>
      </c>
      <c r="B84" s="106" t="s">
        <v>437</v>
      </c>
      <c r="C84" s="56" t="s">
        <v>89</v>
      </c>
      <c r="D84" s="56" t="s">
        <v>6</v>
      </c>
      <c r="E84" s="101" t="s">
        <v>6</v>
      </c>
      <c r="H84" s="61"/>
      <c r="I84" s="61"/>
      <c r="J84" s="61"/>
      <c r="K84"/>
      <c r="M84" s="61"/>
    </row>
    <row r="85" spans="1:13" ht="15.75">
      <c r="A85" s="138"/>
      <c r="B85" s="107" t="s">
        <v>437</v>
      </c>
      <c r="C85" s="108" t="s">
        <v>91</v>
      </c>
      <c r="D85" s="108" t="s">
        <v>43</v>
      </c>
      <c r="E85" s="109" t="s">
        <v>635</v>
      </c>
      <c r="G85" t="str">
        <f>"&lt;CLASSSTRUCTURE&gt;&lt;CLASSSTRUCTUREID&gt;"&amp;B85&amp;"&lt;/CLASSSTRUCTUREID&gt;&lt;CLASSSPEC&gt;&lt;SECTION/&gt;&lt;ALNVALUE&gt;"&amp;C85&amp;"&lt;/ALNVALUE&gt;&lt;ASSETATTRID&gt;"&amp;E85&amp;"&lt;/ASSETATTRID&gt;&lt;/CLASSSPEC&gt;"</f>
        <v>&lt;CLASSSTRUCTURE&gt;&lt;CLASSSTRUCTUREID&gt;090000070835&lt;/CLASSSTRUCTUREID&gt;&lt;CLASSSPEC&gt;&lt;SECTION/&gt;&lt;ALNVALUE&gt;Количество кустов, выявленных при осеннем осмотре, шт., главный путь&lt;/ALNVALUE&gt;&lt;ASSETATTRID&gt;PMOBRAB01&lt;/ASSETATTRID&gt;&lt;/CLASSSPEC&gt;</v>
      </c>
      <c r="H85" s="61"/>
      <c r="I85" s="61"/>
      <c r="J85" s="61"/>
      <c r="K85"/>
      <c r="M85" s="61"/>
    </row>
    <row r="86" spans="1:13" ht="16.5" thickBot="1">
      <c r="A86" s="138"/>
      <c r="B86" s="110" t="s">
        <v>437</v>
      </c>
      <c r="C86" s="103" t="s">
        <v>662</v>
      </c>
      <c r="D86" s="103"/>
      <c r="E86" s="104" t="s">
        <v>636</v>
      </c>
      <c r="G86" t="str">
        <f>"&lt;CLASSSPEC&gt;&lt;SECTION/&gt;&lt;ALNVALUE&gt;"&amp;C86&amp;"&lt;/ALNVALUE&gt;&lt;ASSETATTRID&gt;"&amp;E86&amp;"&lt;/ASSETATTRID&gt;&lt;/CLASSSPEC&gt;&lt;/CLASSSTRUCTURE&gt;"</f>
        <v>&lt;CLASSSPEC&gt;&lt;SECTION/&gt;&lt;ALNVALUE&gt;% негодности шпал, всего&lt;/ALNVALUE&gt;&lt;ASSETATTRID&gt;PMOBRAB02&lt;/ASSETATTRID&gt;&lt;/CLASSSPEC&gt;&lt;/CLASSSTRUCTURE&gt;</v>
      </c>
      <c r="H86" s="61"/>
      <c r="I86" s="61"/>
      <c r="J86" s="61"/>
      <c r="K86"/>
      <c r="M86" s="61"/>
    </row>
    <row r="87" spans="1:13" s="151" customFormat="1" ht="15.75">
      <c r="A87" s="147" t="s">
        <v>94</v>
      </c>
      <c r="B87" s="148" t="s">
        <v>438</v>
      </c>
      <c r="C87" s="149" t="s">
        <v>74</v>
      </c>
      <c r="D87" s="149" t="s">
        <v>6</v>
      </c>
      <c r="E87" s="150" t="s">
        <v>6</v>
      </c>
      <c r="H87" s="152"/>
      <c r="I87" s="152"/>
      <c r="J87" s="152"/>
      <c r="K87" s="153"/>
      <c r="M87" s="152"/>
    </row>
    <row r="88" spans="1:13" ht="16.5" thickBot="1">
      <c r="A88" s="127" t="s">
        <v>581</v>
      </c>
      <c r="B88" s="123" t="s">
        <v>446</v>
      </c>
      <c r="C88" s="32" t="s">
        <v>5</v>
      </c>
      <c r="D88" s="32" t="s">
        <v>21</v>
      </c>
      <c r="E88" s="33" t="s">
        <v>21</v>
      </c>
      <c r="H88" s="61"/>
      <c r="I88" s="61"/>
      <c r="J88" s="61"/>
      <c r="K88"/>
      <c r="M88" s="61"/>
    </row>
    <row r="89" spans="1:13" ht="16.5" thickBot="1">
      <c r="A89" s="127"/>
      <c r="B89" s="37" t="s">
        <v>446</v>
      </c>
      <c r="C89" s="6" t="s">
        <v>163</v>
      </c>
      <c r="D89" s="6" t="s">
        <v>6</v>
      </c>
      <c r="E89" s="9" t="s">
        <v>6</v>
      </c>
      <c r="G89" s="61" t="str">
        <f>"&lt;CLASSSTRUCTURE&gt;&lt;CLASSSTRUCTUREID&gt;"&amp;B90&amp;"&lt;/CLASSSTRUCTUREID&gt;"</f>
        <v>&lt;CLASSSTRUCTURE&gt;&lt;CLASSSTRUCTUREID&gt;090000070881&lt;/CLASSSTRUCTUREID&gt;</v>
      </c>
      <c r="H89" s="61"/>
      <c r="I89" s="61"/>
      <c r="J89" s="61"/>
      <c r="K89"/>
      <c r="M89" s="61"/>
    </row>
    <row r="90" spans="1:13" ht="16.5" thickBot="1">
      <c r="A90" s="127"/>
      <c r="B90" s="37" t="s">
        <v>446</v>
      </c>
      <c r="C90" s="6" t="s">
        <v>164</v>
      </c>
      <c r="D90" s="6"/>
      <c r="E90" s="9" t="s">
        <v>635</v>
      </c>
      <c r="G90" t="str">
        <f>"&lt;CLASSSPEC&gt;&lt;SECTION/&gt;&lt;ALNVALUE&gt;"&amp;C90&amp;"&lt;/ALNVALUE&gt;&lt;ASSETATTRID&gt;"&amp;E90&amp;"&lt;/ASSETATTRID&gt;&lt;/CLASSSPEC&gt;"</f>
        <v>&lt;CLASSSPEC&gt;&lt;SECTION/&gt;&lt;ALNVALUE&gt;ОТ&lt;/ALNVALUE&gt;&lt;ASSETATTRID&gt;PMOBRAB01&lt;/ASSETATTRID&gt;&lt;/CLASSSPEC&gt;</v>
      </c>
      <c r="H90" s="61"/>
      <c r="I90" s="61"/>
      <c r="J90" s="61"/>
      <c r="K90"/>
      <c r="M90" s="61"/>
    </row>
    <row r="91" spans="1:13" ht="16.5" thickBot="1">
      <c r="A91" s="127"/>
      <c r="B91" s="37" t="s">
        <v>446</v>
      </c>
      <c r="C91" s="6" t="s">
        <v>165</v>
      </c>
      <c r="D91" s="6"/>
      <c r="E91" s="9" t="s">
        <v>636</v>
      </c>
      <c r="G91" t="str">
        <f t="shared" ref="G91:G92" si="6">"&lt;CLASSSPEC&gt;&lt;SECTION/&gt;&lt;ALNVALUE&gt;"&amp;C91&amp;"&lt;/ALNVALUE&gt;&lt;ASSETATTRID&gt;"&amp;E91&amp;"&lt;/ASSETATTRID&gt;&lt;/CLASSSPEC&gt;"</f>
        <v>&lt;CLASSSPEC&gt;&lt;SECTION/&gt;&lt;ALNVALUE&gt;СЧ&lt;/ALNVALUE&gt;&lt;ASSETATTRID&gt;PMOBRAB02&lt;/ASSETATTRID&gt;&lt;/CLASSSPEC&gt;</v>
      </c>
      <c r="H91" s="61"/>
      <c r="I91" s="61"/>
      <c r="J91" s="61"/>
      <c r="K91"/>
      <c r="M91" s="61"/>
    </row>
    <row r="92" spans="1:13" ht="16.5" thickBot="1">
      <c r="A92" s="127"/>
      <c r="B92" s="37" t="s">
        <v>446</v>
      </c>
      <c r="C92" s="6" t="s">
        <v>166</v>
      </c>
      <c r="D92" s="6"/>
      <c r="E92" s="9" t="s">
        <v>637</v>
      </c>
      <c r="G92" t="str">
        <f t="shared" si="6"/>
        <v>&lt;CLASSSPEC&gt;&lt;SECTION/&gt;&lt;ALNVALUE&gt;ЩОМ&lt;/ALNVALUE&gt;&lt;ASSETATTRID&gt;PMOBRAB03&lt;/ASSETATTRID&gt;&lt;/CLASSSPEC&gt;</v>
      </c>
      <c r="H92" s="61"/>
      <c r="I92" s="61"/>
      <c r="J92" s="61"/>
      <c r="K92"/>
      <c r="M92" s="61"/>
    </row>
    <row r="93" spans="1:13" ht="16.5" thickBot="1">
      <c r="A93" s="128"/>
      <c r="B93" s="40" t="s">
        <v>446</v>
      </c>
      <c r="C93" s="10" t="s">
        <v>167</v>
      </c>
      <c r="D93" s="10"/>
      <c r="E93" s="11" t="s">
        <v>638</v>
      </c>
      <c r="G93" t="str">
        <f>"&lt;CLASSSPEC&gt;&lt;SECTION/&gt;&lt;ALNVALUE&gt;"&amp;C93&amp;"&lt;/ALNVALUE&gt;&lt;ASSETATTRID&gt;"&amp;E93&amp;"&lt;/ASSETATTRID&gt;&lt;/CLASSSPEC&gt;&lt;/CLASSSTRUCTURE&gt;"</f>
        <v>&lt;CLASSSPEC&gt;&lt;SECTION/&gt;&lt;ALNVALUE&gt;Другие машины&lt;/ALNVALUE&gt;&lt;ASSETATTRID&gt;PMOBRAB04&lt;/ASSETATTRID&gt;&lt;/CLASSSPEC&gt;&lt;/CLASSSTRUCTURE&gt;</v>
      </c>
      <c r="H93" s="61"/>
      <c r="I93" s="61"/>
      <c r="J93" s="61"/>
      <c r="K93"/>
      <c r="M93" s="61"/>
    </row>
    <row r="94" spans="1:13" ht="16.5" thickBot="1">
      <c r="A94" s="48" t="s">
        <v>582</v>
      </c>
      <c r="B94" t="s">
        <v>447</v>
      </c>
      <c r="C94" s="62" t="s">
        <v>5</v>
      </c>
      <c r="D94" s="6" t="s">
        <v>6</v>
      </c>
      <c r="E94" s="9" t="s">
        <v>6</v>
      </c>
      <c r="H94" s="61"/>
      <c r="I94" s="61"/>
      <c r="J94" s="61"/>
      <c r="K94"/>
      <c r="M94" s="61"/>
    </row>
    <row r="95" spans="1:13" ht="16.5" thickBot="1">
      <c r="A95" s="16" t="s">
        <v>95</v>
      </c>
      <c r="B95" s="23" t="s">
        <v>448</v>
      </c>
      <c r="C95" s="14" t="s">
        <v>5</v>
      </c>
      <c r="D95" s="14" t="s">
        <v>6</v>
      </c>
      <c r="E95" s="17" t="s">
        <v>6</v>
      </c>
      <c r="H95" s="61"/>
      <c r="I95" s="61"/>
      <c r="J95" s="61"/>
      <c r="K95"/>
      <c r="M95" s="61"/>
    </row>
    <row r="96" spans="1:13" ht="16.5" thickBot="1">
      <c r="A96" s="16" t="s">
        <v>96</v>
      </c>
      <c r="B96" s="23" t="s">
        <v>449</v>
      </c>
      <c r="C96" s="14" t="s">
        <v>5</v>
      </c>
      <c r="D96" s="14" t="s">
        <v>6</v>
      </c>
      <c r="E96" s="17" t="s">
        <v>6</v>
      </c>
      <c r="H96" s="61"/>
      <c r="I96" s="61"/>
      <c r="J96" s="61"/>
      <c r="K96"/>
      <c r="M96" s="61"/>
    </row>
    <row r="97" spans="1:13" ht="16.5" thickBot="1">
      <c r="A97" s="16" t="s">
        <v>97</v>
      </c>
      <c r="B97" s="23" t="s">
        <v>450</v>
      </c>
      <c r="C97" s="14" t="s">
        <v>5</v>
      </c>
      <c r="D97" s="14" t="s">
        <v>6</v>
      </c>
      <c r="E97" s="17" t="s">
        <v>6</v>
      </c>
      <c r="H97" s="61"/>
      <c r="I97" s="61"/>
      <c r="J97" s="61"/>
      <c r="K97"/>
      <c r="M97" s="61"/>
    </row>
    <row r="98" spans="1:13" ht="16.5" thickBot="1">
      <c r="A98" s="16" t="s">
        <v>98</v>
      </c>
      <c r="B98" s="23" t="s">
        <v>451</v>
      </c>
      <c r="C98" s="14" t="s">
        <v>5</v>
      </c>
      <c r="D98" s="14" t="s">
        <v>6</v>
      </c>
      <c r="E98" s="17" t="s">
        <v>6</v>
      </c>
      <c r="H98" s="61"/>
      <c r="I98" s="61"/>
      <c r="J98" s="61"/>
      <c r="K98"/>
      <c r="M98" s="61"/>
    </row>
    <row r="99" spans="1:13" ht="16.5" thickBot="1">
      <c r="A99" s="16" t="s">
        <v>99</v>
      </c>
      <c r="B99" s="23" t="s">
        <v>452</v>
      </c>
      <c r="C99" s="14" t="s">
        <v>5</v>
      </c>
      <c r="D99" s="14" t="s">
        <v>6</v>
      </c>
      <c r="E99" s="17" t="s">
        <v>6</v>
      </c>
      <c r="H99" s="61"/>
      <c r="I99" s="61"/>
      <c r="J99" s="61"/>
      <c r="K99"/>
      <c r="M99" s="61"/>
    </row>
    <row r="100" spans="1:13" ht="16.5" thickBot="1">
      <c r="A100" s="16" t="s">
        <v>100</v>
      </c>
      <c r="B100" s="23" t="s">
        <v>454</v>
      </c>
      <c r="C100" s="14" t="s">
        <v>5</v>
      </c>
      <c r="D100" s="14" t="s">
        <v>6</v>
      </c>
      <c r="E100" s="17" t="s">
        <v>6</v>
      </c>
      <c r="H100" s="61"/>
      <c r="I100" s="61"/>
      <c r="J100" s="61"/>
      <c r="K100"/>
      <c r="M100" s="61"/>
    </row>
    <row r="101" spans="1:13" ht="16.5" thickBot="1">
      <c r="A101" s="16" t="s">
        <v>101</v>
      </c>
      <c r="B101" s="23" t="s">
        <v>455</v>
      </c>
      <c r="C101" s="14" t="s">
        <v>5</v>
      </c>
      <c r="D101" s="14" t="s">
        <v>6</v>
      </c>
      <c r="E101" s="17" t="s">
        <v>6</v>
      </c>
      <c r="H101" s="61"/>
      <c r="I101" s="61"/>
      <c r="J101" s="61"/>
      <c r="K101"/>
      <c r="M101" s="61"/>
    </row>
    <row r="102" spans="1:13" ht="16.5" thickBot="1">
      <c r="A102" s="18" t="s">
        <v>102</v>
      </c>
      <c r="B102" s="23" t="s">
        <v>456</v>
      </c>
      <c r="C102" s="15" t="s">
        <v>5</v>
      </c>
      <c r="D102" s="15" t="s">
        <v>6</v>
      </c>
      <c r="E102" s="19" t="s">
        <v>6</v>
      </c>
      <c r="H102" s="61"/>
      <c r="I102" s="61"/>
      <c r="J102" s="61"/>
      <c r="K102"/>
      <c r="M102" s="61"/>
    </row>
    <row r="103" spans="1:13" ht="16.5" thickBot="1">
      <c r="A103" s="18" t="s">
        <v>103</v>
      </c>
      <c r="B103" s="23" t="s">
        <v>457</v>
      </c>
      <c r="C103" s="15" t="s">
        <v>74</v>
      </c>
      <c r="D103" s="15" t="s">
        <v>6</v>
      </c>
      <c r="E103" s="19" t="s">
        <v>6</v>
      </c>
      <c r="H103" s="61"/>
      <c r="I103" s="61"/>
      <c r="J103" s="61"/>
      <c r="K103"/>
      <c r="M103" s="61"/>
    </row>
    <row r="104" spans="1:13" ht="15.75">
      <c r="A104" s="129" t="s">
        <v>104</v>
      </c>
      <c r="B104" s="47" t="s">
        <v>466</v>
      </c>
      <c r="C104" s="7" t="s">
        <v>105</v>
      </c>
      <c r="D104" s="7" t="s">
        <v>6</v>
      </c>
      <c r="E104" s="8" t="s">
        <v>6</v>
      </c>
      <c r="G104" s="61" t="str">
        <f>"&lt;CLASSSTRUCTURE&gt;&lt;CLASSSTRUCTUREID&gt;"&amp;B105&amp;"&lt;/CLASSSTRUCTUREID&gt;"</f>
        <v>&lt;CLASSSTRUCTURE&gt;&lt;CLASSSTRUCTUREID&gt;090000070864&lt;/CLASSSTRUCTUREID&gt;</v>
      </c>
      <c r="H104" s="61"/>
      <c r="I104" s="61"/>
      <c r="J104" s="61"/>
      <c r="K104"/>
      <c r="M104" s="61"/>
    </row>
    <row r="105" spans="1:13" ht="15.75">
      <c r="A105" s="130"/>
      <c r="B105" s="47" t="s">
        <v>466</v>
      </c>
      <c r="C105" s="6" t="s">
        <v>106</v>
      </c>
      <c r="D105" s="6" t="s">
        <v>21</v>
      </c>
      <c r="E105" s="9" t="s">
        <v>635</v>
      </c>
      <c r="G105" t="str">
        <f>"&lt;CLASSSPEC&gt;&lt;SECTION/&gt;&lt;ALNVALUE&gt;"&amp;C105&amp;"&lt;/ALNVALUE&gt;&lt;ASSETATTRID&gt;"&amp;E105&amp;"&lt;/ASSETATTRID&gt;&lt;/CLASSSPEC&gt;"</f>
        <v>&lt;CLASSSPEC&gt;&lt;SECTION/&gt;&lt;ALNVALUE&gt;В т.ч. композитные&lt;/ALNVALUE&gt;&lt;ASSETATTRID&gt;PMOBRAB01&lt;/ASSETATTRID&gt;&lt;/CLASSSPEC&gt;</v>
      </c>
      <c r="H105" s="61"/>
      <c r="I105" s="61"/>
      <c r="J105" s="61"/>
      <c r="K105"/>
      <c r="M105" s="61"/>
    </row>
    <row r="106" spans="1:13" ht="15.75">
      <c r="A106" s="130"/>
      <c r="B106" s="47" t="s">
        <v>466</v>
      </c>
      <c r="C106" s="6" t="s">
        <v>107</v>
      </c>
      <c r="D106" s="6" t="s">
        <v>29</v>
      </c>
      <c r="E106" s="9" t="s">
        <v>636</v>
      </c>
      <c r="G106" t="str">
        <f t="shared" ref="G106:G108" si="7">"&lt;CLASSSPEC&gt;&lt;SECTION/&gt;&lt;ALNVALUE&gt;"&amp;C106&amp;"&lt;/ALNVALUE&gt;&lt;ASSETATTRID&gt;"&amp;E106&amp;"&lt;/ASSETATTRID&gt;&lt;/CLASSSPEC&gt;"</f>
        <v>&lt;CLASSSPEC&gt;&lt;SECTION/&gt;&lt;ALNVALUE&gt;металлополимерные&lt;/ALNVALUE&gt;&lt;ASSETATTRID&gt;PMOBRAB02&lt;/ASSETATTRID&gt;&lt;/CLASSSPEC&gt;</v>
      </c>
      <c r="H106" s="61"/>
      <c r="I106" s="61"/>
      <c r="J106" s="61"/>
      <c r="K106"/>
      <c r="M106" s="61"/>
    </row>
    <row r="107" spans="1:13" ht="15.75">
      <c r="A107" s="130"/>
      <c r="B107" s="47" t="s">
        <v>466</v>
      </c>
      <c r="C107" s="6" t="s">
        <v>108</v>
      </c>
      <c r="D107" s="6" t="s">
        <v>41</v>
      </c>
      <c r="E107" s="9" t="s">
        <v>637</v>
      </c>
      <c r="G107" t="str">
        <f t="shared" si="7"/>
        <v>&lt;CLASSSPEC&gt;&lt;SECTION/&gt;&lt;ALNVALUE&gt;комбинированные&lt;/ALNVALUE&gt;&lt;ASSETATTRID&gt;PMOBRAB03&lt;/ASSETATTRID&gt;&lt;/CLASSSPEC&gt;</v>
      </c>
      <c r="H107" s="61"/>
      <c r="I107" s="61"/>
      <c r="J107" s="61"/>
      <c r="K107"/>
      <c r="M107" s="61"/>
    </row>
    <row r="108" spans="1:13" ht="15.75">
      <c r="A108" s="130"/>
      <c r="B108" s="47" t="s">
        <v>466</v>
      </c>
      <c r="C108" s="6" t="s">
        <v>109</v>
      </c>
      <c r="D108" s="6"/>
      <c r="E108" s="9" t="s">
        <v>638</v>
      </c>
      <c r="G108" t="str">
        <f t="shared" si="7"/>
        <v>&lt;CLASSSPEC&gt;&lt;SECTION/&gt;&lt;ALNVALUE&gt;Количество изостыков с композитными накладками, АпАТэк&lt;/ALNVALUE&gt;&lt;ASSETATTRID&gt;PMOBRAB04&lt;/ASSETATTRID&gt;&lt;/CLASSSPEC&gt;</v>
      </c>
      <c r="H108" s="61"/>
      <c r="I108" s="61"/>
      <c r="J108" s="61"/>
      <c r="K108"/>
      <c r="M108" s="61"/>
    </row>
    <row r="109" spans="1:13" ht="15.75">
      <c r="A109" s="130"/>
      <c r="B109" s="47" t="s">
        <v>466</v>
      </c>
      <c r="C109" s="6" t="s">
        <v>110</v>
      </c>
      <c r="D109" s="6"/>
      <c r="E109" s="9" t="s">
        <v>639</v>
      </c>
      <c r="G109" t="str">
        <f>"&lt;CLASSSPEC&gt;&lt;SECTION/&gt;&lt;ALNVALUE&gt;"&amp;C109&amp;"&lt;/ALNVALUE&gt;&lt;ASSETATTRID&gt;"&amp;E109&amp;"&lt;/ASSETATTRID&gt;&lt;/CLASSSPEC&gt;"</f>
        <v>&lt;CLASSSPEC&gt;&lt;SECTION/&gt;&lt;ALNVALUE&gt;Количество изостыков с композитными накладками, Пластрон&lt;/ALNVALUE&gt;&lt;ASSETATTRID&gt;PMOBRAB05&lt;/ASSETATTRID&gt;&lt;/CLASSSPEC&gt;</v>
      </c>
      <c r="H109" s="61"/>
      <c r="I109" s="61"/>
      <c r="J109" s="61"/>
      <c r="K109"/>
      <c r="M109" s="61"/>
    </row>
    <row r="110" spans="1:13" ht="15.75">
      <c r="A110" s="130"/>
      <c r="B110" s="47" t="s">
        <v>466</v>
      </c>
      <c r="C110" s="6" t="s">
        <v>111</v>
      </c>
      <c r="D110" s="6"/>
      <c r="E110" s="9" t="s">
        <v>640</v>
      </c>
      <c r="G110" t="str">
        <f t="shared" ref="G110" si="8">"&lt;CLASSSPEC&gt;&lt;SECTION/&gt;&lt;ALNVALUE&gt;"&amp;C110&amp;"&lt;/ALNVALUE&gt;&lt;ASSETATTRID&gt;"&amp;E110&amp;"&lt;/ASSETATTRID&gt;&lt;/CLASSSPEC&gt;"</f>
        <v>&lt;CLASSSPEC&gt;&lt;SECTION/&gt;&lt;ALNVALUE&gt;Количество изостыков с металлополимерными накладками, Гефест-Ростов&lt;/ALNVALUE&gt;&lt;ASSETATTRID&gt;PMOBRAB06&lt;/ASSETATTRID&gt;&lt;/CLASSSPEC&gt;</v>
      </c>
      <c r="H110" s="61"/>
      <c r="I110" s="61"/>
      <c r="J110" s="61"/>
      <c r="K110"/>
      <c r="M110" s="61"/>
    </row>
    <row r="111" spans="1:13" ht="16.5" thickBot="1">
      <c r="A111" s="130"/>
      <c r="B111" s="47" t="s">
        <v>466</v>
      </c>
      <c r="C111" s="12" t="s">
        <v>112</v>
      </c>
      <c r="D111" s="12"/>
      <c r="E111" s="13" t="s">
        <v>641</v>
      </c>
      <c r="G111" t="str">
        <f>"&lt;CLASSSPEC&gt;&lt;SECTION/&gt;&lt;ALNVALUE&gt;"&amp;C111&amp;"&lt;/ALNVALUE&gt;&lt;ASSETATTRID&gt;"&amp;E111&amp;"&lt;/ASSETATTRID&gt;&lt;/CLASSSPEC&gt;&lt;/CLASSSTRUCTURE&gt;"</f>
        <v>&lt;CLASSSPEC&gt;&lt;SECTION/&gt;&lt;ALNVALUE&gt;Количество изостыков с металлополимерными накладками, ТрансПолимер-Пермь&lt;/ALNVALUE&gt;&lt;ASSETATTRID&gt;PMOBRAB07&lt;/ASSETATTRID&gt;&lt;/CLASSSPEC&gt;&lt;/CLASSSTRUCTURE&gt;</v>
      </c>
      <c r="H111" s="61"/>
      <c r="I111" s="61"/>
      <c r="J111" s="61"/>
      <c r="K111"/>
      <c r="M111" s="61"/>
    </row>
    <row r="112" spans="1:13" ht="16.5" thickBot="1">
      <c r="A112" s="18" t="s">
        <v>113</v>
      </c>
      <c r="B112" s="23" t="s">
        <v>467</v>
      </c>
      <c r="C112" s="15" t="s">
        <v>5</v>
      </c>
      <c r="D112" s="15" t="s">
        <v>6</v>
      </c>
      <c r="E112" s="19" t="s">
        <v>6</v>
      </c>
      <c r="H112" s="61"/>
      <c r="I112" s="61"/>
      <c r="J112" s="61"/>
      <c r="K112"/>
      <c r="M112" s="61"/>
    </row>
    <row r="113" spans="1:13" ht="15.75">
      <c r="A113" s="131" t="s">
        <v>114</v>
      </c>
      <c r="B113" s="47" t="s">
        <v>468</v>
      </c>
      <c r="C113" s="7" t="s">
        <v>115</v>
      </c>
      <c r="D113" s="7" t="s">
        <v>6</v>
      </c>
      <c r="E113" s="8" t="s">
        <v>6</v>
      </c>
      <c r="G113" s="61" t="str">
        <f>"&lt;CLASSSTRUCTURE&gt;&lt;CLASSSTRUCTUREID&gt;"&amp;B114&amp;"&lt;/CLASSSTRUCTUREID&gt;"</f>
        <v>&lt;CLASSSTRUCTURE&gt;&lt;CLASSSTRUCTUREID&gt;090000070866&lt;/CLASSSTRUCTUREID&gt;</v>
      </c>
      <c r="H113" s="61"/>
      <c r="I113" s="61"/>
      <c r="J113" s="61"/>
      <c r="K113"/>
      <c r="M113" s="61"/>
    </row>
    <row r="114" spans="1:13" ht="15.75">
      <c r="A114" s="127"/>
      <c r="B114" s="47" t="s">
        <v>468</v>
      </c>
      <c r="C114" s="6" t="s">
        <v>116</v>
      </c>
      <c r="D114" s="6" t="s">
        <v>21</v>
      </c>
      <c r="E114" s="9" t="s">
        <v>635</v>
      </c>
      <c r="G114" t="str">
        <f>"&lt;CLASSSPEC&gt;&lt;SECTION/&gt;&lt;ALNVALUE&gt;"&amp;C114&amp;"&lt;/ALNVALUE&gt;&lt;ASSETATTRID&gt;"&amp;E114&amp;"&lt;/ASSETATTRID&gt;&lt;/CLASSSPEC&gt;"</f>
        <v>&lt;CLASSSPEC&gt;&lt;SECTION/&gt;&lt;ALNVALUE&gt;в т.ч. меднных (тыс. шт)&lt;/ALNVALUE&gt;&lt;ASSETATTRID&gt;PMOBRAB01&lt;/ASSETATTRID&gt;&lt;/CLASSSPEC&gt;</v>
      </c>
      <c r="H114" s="61"/>
      <c r="I114" s="61"/>
      <c r="J114" s="61"/>
      <c r="K114"/>
      <c r="M114" s="61"/>
    </row>
    <row r="115" spans="1:13" ht="16.5" thickBot="1">
      <c r="A115" s="128"/>
      <c r="B115" s="47" t="s">
        <v>468</v>
      </c>
      <c r="C115" s="10" t="s">
        <v>117</v>
      </c>
      <c r="D115" s="10" t="s">
        <v>29</v>
      </c>
      <c r="E115" s="11" t="s">
        <v>636</v>
      </c>
      <c r="G115" t="str">
        <f>"&lt;CLASSSPEC&gt;&lt;SECTION/&gt;&lt;ALNVALUE&gt;"&amp;C115&amp;"&lt;/ALNVALUE&gt;&lt;ASSETATTRID&gt;"&amp;E115&amp;"&lt;/ASSETATTRID&gt;&lt;/CLASSSPEC&gt;&lt;/CLASSSTRUCTURE&gt;"</f>
        <v>&lt;CLASSSPEC&gt;&lt;SECTION/&gt;&lt;ALNVALUE&gt;в т.ч. стальных (тыс. шт)&lt;/ALNVALUE&gt;&lt;ASSETATTRID&gt;PMOBRAB02&lt;/ASSETATTRID&gt;&lt;/CLASSSPEC&gt;&lt;/CLASSSTRUCTURE&gt;</v>
      </c>
      <c r="H115" s="61"/>
      <c r="I115" s="61"/>
      <c r="J115" s="61"/>
      <c r="K115"/>
      <c r="M115" s="61"/>
    </row>
    <row r="116" spans="1:13" ht="16.5" thickBot="1">
      <c r="A116" s="16" t="s">
        <v>118</v>
      </c>
      <c r="B116" s="23" t="s">
        <v>469</v>
      </c>
      <c r="C116" s="20" t="s">
        <v>119</v>
      </c>
      <c r="D116" s="14" t="s">
        <v>6</v>
      </c>
      <c r="E116" s="17" t="s">
        <v>6</v>
      </c>
      <c r="H116" s="61"/>
      <c r="I116" s="61"/>
      <c r="J116" s="61"/>
      <c r="K116"/>
      <c r="M116" s="61"/>
    </row>
    <row r="117" spans="1:13" ht="16.5" thickBot="1">
      <c r="A117" s="16" t="s">
        <v>120</v>
      </c>
      <c r="B117" s="23" t="s">
        <v>470</v>
      </c>
      <c r="C117" s="20" t="s">
        <v>119</v>
      </c>
      <c r="D117" s="14" t="s">
        <v>6</v>
      </c>
      <c r="E117" s="17" t="s">
        <v>6</v>
      </c>
      <c r="H117" s="61"/>
      <c r="I117" s="61"/>
      <c r="J117" s="61"/>
      <c r="K117"/>
      <c r="M117" s="61"/>
    </row>
    <row r="118" spans="1:13" ht="16.5" thickBot="1">
      <c r="A118" s="16" t="s">
        <v>121</v>
      </c>
      <c r="B118" s="23" t="s">
        <v>471</v>
      </c>
      <c r="C118" s="20" t="s">
        <v>119</v>
      </c>
      <c r="D118" s="14" t="s">
        <v>6</v>
      </c>
      <c r="E118" s="17" t="s">
        <v>6</v>
      </c>
      <c r="H118" s="61"/>
      <c r="I118" s="61"/>
      <c r="J118" s="61"/>
      <c r="K118"/>
      <c r="M118" s="61"/>
    </row>
    <row r="119" spans="1:13" ht="15.75" customHeight="1" thickBot="1">
      <c r="A119" s="16" t="s">
        <v>122</v>
      </c>
      <c r="B119" s="23" t="s">
        <v>472</v>
      </c>
      <c r="C119" s="20" t="s">
        <v>119</v>
      </c>
      <c r="D119" s="14" t="s">
        <v>6</v>
      </c>
      <c r="E119" s="17" t="s">
        <v>6</v>
      </c>
      <c r="H119" s="61"/>
      <c r="I119" s="61"/>
      <c r="J119" s="61"/>
      <c r="K119"/>
      <c r="M119" s="61"/>
    </row>
    <row r="120" spans="1:13" ht="16.5" customHeight="1" thickBot="1">
      <c r="A120" s="18" t="s">
        <v>124</v>
      </c>
      <c r="B120" s="23" t="s">
        <v>473</v>
      </c>
      <c r="C120" s="5" t="s">
        <v>119</v>
      </c>
      <c r="D120" s="15" t="s">
        <v>6</v>
      </c>
      <c r="E120" s="19" t="s">
        <v>6</v>
      </c>
      <c r="H120" s="61"/>
      <c r="I120" s="61"/>
      <c r="J120" s="61"/>
      <c r="K120"/>
      <c r="M120" s="61"/>
    </row>
    <row r="121" spans="1:13" ht="15.75">
      <c r="A121" s="132" t="s">
        <v>123</v>
      </c>
      <c r="B121" s="23" t="s">
        <v>418</v>
      </c>
      <c r="C121" s="7" t="s">
        <v>5</v>
      </c>
      <c r="D121" s="7" t="s">
        <v>6</v>
      </c>
      <c r="E121" s="8" t="s">
        <v>6</v>
      </c>
      <c r="H121" s="61"/>
      <c r="I121" s="61"/>
      <c r="J121" s="61"/>
      <c r="K121"/>
      <c r="M121" s="61"/>
    </row>
    <row r="122" spans="1:13" ht="16.5" customHeight="1">
      <c r="A122" s="133"/>
      <c r="B122" s="23" t="s">
        <v>418</v>
      </c>
      <c r="C122" s="6" t="s">
        <v>125</v>
      </c>
      <c r="D122" s="6" t="s">
        <v>21</v>
      </c>
      <c r="E122" s="9" t="s">
        <v>21</v>
      </c>
      <c r="G122" s="61" t="str">
        <f>"&lt;CLASSSTRUCTURE&gt;&lt;CLASSSTRUCTUREID&gt;"&amp;B123&amp;"&lt;/CLASSSTRUCTUREID&gt;"</f>
        <v>&lt;CLASSSTRUCTURE&gt;&lt;CLASSSTRUCTUREID&gt;090000070376&lt;/CLASSSTRUCTUREID&gt;</v>
      </c>
      <c r="H122" s="61"/>
      <c r="I122" s="61"/>
      <c r="J122" s="61"/>
      <c r="K122"/>
      <c r="M122" s="61"/>
    </row>
    <row r="123" spans="1:13" ht="15.75" customHeight="1">
      <c r="A123" s="133"/>
      <c r="B123" s="23" t="s">
        <v>418</v>
      </c>
      <c r="C123" s="6" t="s">
        <v>570</v>
      </c>
      <c r="D123" s="6"/>
      <c r="E123" s="9" t="s">
        <v>635</v>
      </c>
      <c r="G123" t="str">
        <f>"&lt;CLASSSPEC&gt;&lt;SECTION/&gt;&lt;ALNVALUE&gt;"&amp;C123&amp;"&lt;/ALNVALUE&gt;&lt;ASSETATTRID&gt;"&amp;E123&amp;"&lt;/ASSETATTRID&gt;&lt;/CLASSSPEC&gt;"</f>
        <v>&lt;CLASSSPEC&gt;&lt;SECTION/&gt;&lt;ALNVALUE&gt;Вид ограждения&lt;/ALNVALUE&gt;&lt;ASSETATTRID&gt;PMOBRAB01&lt;/ASSETATTRID&gt;&lt;/CLASSSPEC&gt;</v>
      </c>
      <c r="H123" s="61"/>
      <c r="I123" s="61"/>
      <c r="J123" s="61"/>
      <c r="K123"/>
      <c r="M123" s="61"/>
    </row>
    <row r="124" spans="1:13" ht="15.75" customHeight="1">
      <c r="A124" s="133"/>
      <c r="B124" s="23" t="s">
        <v>418</v>
      </c>
      <c r="C124" s="6" t="s">
        <v>571</v>
      </c>
      <c r="D124" s="6"/>
      <c r="E124" s="9" t="s">
        <v>636</v>
      </c>
      <c r="G124" t="str">
        <f t="shared" ref="G124:G126" si="9">"&lt;CLASSSPEC&gt;&lt;SECTION/&gt;&lt;ALNVALUE&gt;"&amp;C124&amp;"&lt;/ALNVALUE&gt;&lt;ASSETATTRID&gt;"&amp;E124&amp;"&lt;/ASSETATTRID&gt;&lt;/CLASSSPEC&gt;"</f>
        <v>&lt;CLASSSPEC&gt;&lt;SECTION/&gt;&lt;ALNVALUE&gt;Наличие участков, штук мест&lt;/ALNVALUE&gt;&lt;ASSETATTRID&gt;PMOBRAB02&lt;/ASSETATTRID&gt;&lt;/CLASSSPEC&gt;</v>
      </c>
      <c r="H124" s="61"/>
      <c r="I124" s="61"/>
      <c r="J124" s="61"/>
      <c r="K124"/>
      <c r="M124" s="61"/>
    </row>
    <row r="125" spans="1:13" ht="15.75" customHeight="1">
      <c r="A125" s="133"/>
      <c r="B125" s="23" t="s">
        <v>418</v>
      </c>
      <c r="C125" s="6" t="s">
        <v>572</v>
      </c>
      <c r="D125" s="6"/>
      <c r="E125" s="9" t="s">
        <v>637</v>
      </c>
      <c r="G125" t="str">
        <f t="shared" si="9"/>
        <v>&lt;CLASSSPEC&gt;&lt;SECTION/&gt;&lt;ALNVALUE&gt;Наличие участков, км&lt;/ALNVALUE&gt;&lt;ASSETATTRID&gt;PMOBRAB03&lt;/ASSETATTRID&gt;&lt;/CLASSSPEC&gt;</v>
      </c>
      <c r="H125" s="61"/>
      <c r="I125" s="61"/>
      <c r="J125" s="61"/>
      <c r="K125"/>
      <c r="M125" s="61"/>
    </row>
    <row r="126" spans="1:13" ht="15.75" customHeight="1">
      <c r="A126" s="133"/>
      <c r="B126" s="23" t="s">
        <v>418</v>
      </c>
      <c r="C126" s="6" t="s">
        <v>573</v>
      </c>
      <c r="D126" s="6"/>
      <c r="E126" s="9" t="s">
        <v>638</v>
      </c>
      <c r="G126" t="str">
        <f t="shared" si="9"/>
        <v>&lt;CLASSSPEC&gt;&lt;SECTION/&gt;&lt;ALNVALUE&gt;Из них оборудованных ограждением, штук мест&lt;/ALNVALUE&gt;&lt;ASSETATTRID&gt;PMOBRAB04&lt;/ASSETATTRID&gt;&lt;/CLASSSPEC&gt;</v>
      </c>
      <c r="H126" s="61"/>
      <c r="I126" s="61"/>
      <c r="J126" s="61"/>
      <c r="K126"/>
      <c r="M126" s="61"/>
    </row>
    <row r="127" spans="1:13" ht="16.5" customHeight="1" thickBot="1">
      <c r="A127" s="134"/>
      <c r="B127" s="23" t="s">
        <v>418</v>
      </c>
      <c r="C127" s="10" t="s">
        <v>574</v>
      </c>
      <c r="D127" s="10"/>
      <c r="E127" s="11" t="s">
        <v>639</v>
      </c>
      <c r="G127" t="str">
        <f>"&lt;CLASSSPEC&gt;&lt;SECTION/&gt;&lt;ALNVALUE&gt;"&amp;C127&amp;"&lt;/ALNVALUE&gt;&lt;ASSETATTRID&gt;"&amp;E127&amp;"&lt;/ASSETATTRID&gt;&lt;/CLASSSPEC&gt;&lt;/CLASSSTRUCTURE&gt;"</f>
        <v>&lt;CLASSSPEC&gt;&lt;SECTION/&gt;&lt;ALNVALUE&gt;Из них оборудованных ограждением, км&lt;/ALNVALUE&gt;&lt;ASSETATTRID&gt;PMOBRAB05&lt;/ASSETATTRID&gt;&lt;/CLASSSPEC&gt;&lt;/CLASSSTRUCTURE&gt;</v>
      </c>
      <c r="H127" s="61"/>
      <c r="I127" s="61"/>
      <c r="J127" s="61"/>
      <c r="K127"/>
      <c r="M127" s="61"/>
    </row>
    <row r="128" spans="1:13" ht="16.5" thickBot="1">
      <c r="A128" s="34" t="s">
        <v>126</v>
      </c>
      <c r="B128" s="23" t="s">
        <v>474</v>
      </c>
      <c r="C128" s="20" t="s">
        <v>5</v>
      </c>
      <c r="D128" s="17" t="s">
        <v>6</v>
      </c>
      <c r="E128" s="35" t="s">
        <v>6</v>
      </c>
      <c r="G128" s="61"/>
      <c r="H128" s="61"/>
      <c r="I128" s="61"/>
      <c r="J128" s="61"/>
      <c r="K128"/>
      <c r="M128" s="61"/>
    </row>
    <row r="129" spans="1:13" ht="15.75">
      <c r="A129" s="127" t="s">
        <v>127</v>
      </c>
      <c r="B129" s="39" t="s">
        <v>477</v>
      </c>
      <c r="C129" s="32" t="s">
        <v>606</v>
      </c>
      <c r="D129" s="7" t="s">
        <v>6</v>
      </c>
      <c r="E129" s="8" t="s">
        <v>6</v>
      </c>
      <c r="G129"/>
      <c r="H129" s="61"/>
      <c r="I129" s="61"/>
      <c r="J129" s="61"/>
      <c r="K129"/>
      <c r="M129" s="61"/>
    </row>
    <row r="130" spans="1:13" ht="16.5" customHeight="1" thickBot="1">
      <c r="A130" s="128"/>
      <c r="B130" s="39" t="s">
        <v>477</v>
      </c>
      <c r="C130" s="10" t="s">
        <v>607</v>
      </c>
      <c r="D130" s="6" t="s">
        <v>21</v>
      </c>
      <c r="E130" s="9" t="s">
        <v>21</v>
      </c>
      <c r="G130"/>
      <c r="H130" s="61"/>
      <c r="I130" s="61"/>
      <c r="J130" s="61"/>
      <c r="K130"/>
      <c r="M130" s="61"/>
    </row>
    <row r="131" spans="1:13" ht="16.5" thickBot="1">
      <c r="A131" s="16" t="s">
        <v>128</v>
      </c>
      <c r="B131" s="23" t="s">
        <v>481</v>
      </c>
      <c r="C131" s="14" t="s">
        <v>129</v>
      </c>
      <c r="D131" s="14" t="s">
        <v>6</v>
      </c>
      <c r="E131" s="17" t="s">
        <v>6</v>
      </c>
      <c r="H131" s="61"/>
      <c r="I131" s="61"/>
      <c r="J131" s="61"/>
      <c r="K131"/>
      <c r="M131" s="61"/>
    </row>
    <row r="132" spans="1:13" ht="16.5" thickBot="1">
      <c r="A132" s="16" t="s">
        <v>130</v>
      </c>
      <c r="B132" s="23" t="s">
        <v>482</v>
      </c>
      <c r="C132" s="14" t="s">
        <v>129</v>
      </c>
      <c r="D132" s="14" t="s">
        <v>6</v>
      </c>
      <c r="E132" s="17" t="s">
        <v>6</v>
      </c>
      <c r="H132" s="61"/>
      <c r="I132" s="61"/>
      <c r="J132" s="61"/>
      <c r="K132"/>
      <c r="M132" s="61"/>
    </row>
    <row r="133" spans="1:13" ht="16.5" thickBot="1">
      <c r="A133" s="16" t="s">
        <v>131</v>
      </c>
      <c r="B133" s="23" t="s">
        <v>483</v>
      </c>
      <c r="C133" s="14" t="s">
        <v>129</v>
      </c>
      <c r="D133" s="14" t="s">
        <v>6</v>
      </c>
      <c r="E133" s="17" t="s">
        <v>6</v>
      </c>
      <c r="H133" s="61"/>
      <c r="I133" s="61"/>
      <c r="J133" s="61"/>
      <c r="K133"/>
      <c r="M133" s="61"/>
    </row>
    <row r="134" spans="1:13" ht="16.5" thickBot="1">
      <c r="A134" s="16" t="s">
        <v>132</v>
      </c>
      <c r="B134" s="23" t="s">
        <v>484</v>
      </c>
      <c r="C134" s="14" t="s">
        <v>129</v>
      </c>
      <c r="D134" s="14" t="s">
        <v>6</v>
      </c>
      <c r="E134" s="17" t="s">
        <v>6</v>
      </c>
      <c r="H134" s="61"/>
      <c r="I134" s="61"/>
      <c r="J134" s="61"/>
      <c r="K134"/>
      <c r="M134" s="61"/>
    </row>
    <row r="135" spans="1:13" ht="16.5" thickBot="1">
      <c r="A135" s="16" t="s">
        <v>133</v>
      </c>
      <c r="B135" s="23" t="s">
        <v>485</v>
      </c>
      <c r="C135" s="14" t="s">
        <v>129</v>
      </c>
      <c r="D135" s="14" t="s">
        <v>6</v>
      </c>
      <c r="E135" s="17" t="s">
        <v>6</v>
      </c>
      <c r="H135" s="61"/>
      <c r="I135" s="61"/>
      <c r="J135" s="61"/>
      <c r="K135"/>
      <c r="M135" s="61"/>
    </row>
    <row r="136" spans="1:13" ht="16.5" thickBot="1">
      <c r="A136" s="16" t="s">
        <v>134</v>
      </c>
      <c r="B136" s="23" t="s">
        <v>486</v>
      </c>
      <c r="C136" s="14" t="s">
        <v>129</v>
      </c>
      <c r="D136" s="14" t="s">
        <v>6</v>
      </c>
      <c r="E136" s="17" t="s">
        <v>6</v>
      </c>
      <c r="H136" s="61"/>
      <c r="I136" s="61"/>
      <c r="J136" s="61"/>
      <c r="K136"/>
      <c r="M136" s="61"/>
    </row>
    <row r="137" spans="1:13" ht="16.5" thickBot="1">
      <c r="A137" s="16" t="s">
        <v>135</v>
      </c>
      <c r="B137" s="23" t="s">
        <v>488</v>
      </c>
      <c r="C137" s="14" t="s">
        <v>129</v>
      </c>
      <c r="D137" s="14" t="s">
        <v>6</v>
      </c>
      <c r="E137" s="17" t="s">
        <v>6</v>
      </c>
      <c r="H137" s="61"/>
      <c r="I137" s="61"/>
      <c r="J137" s="61"/>
      <c r="K137"/>
      <c r="M137" s="61"/>
    </row>
    <row r="138" spans="1:13" ht="16.5" thickBot="1">
      <c r="A138" s="16" t="s">
        <v>136</v>
      </c>
      <c r="B138" s="23" t="s">
        <v>487</v>
      </c>
      <c r="C138" s="14" t="s">
        <v>129</v>
      </c>
      <c r="D138" s="14" t="s">
        <v>6</v>
      </c>
      <c r="E138" s="17" t="s">
        <v>6</v>
      </c>
      <c r="H138" s="61"/>
      <c r="I138" s="61"/>
      <c r="J138" s="61"/>
      <c r="K138"/>
      <c r="M138" s="61"/>
    </row>
    <row r="139" spans="1:13" ht="16.5" thickBot="1">
      <c r="A139" s="16" t="s">
        <v>137</v>
      </c>
      <c r="B139" s="23" t="s">
        <v>489</v>
      </c>
      <c r="C139" s="14" t="s">
        <v>129</v>
      </c>
      <c r="D139" s="14" t="s">
        <v>6</v>
      </c>
      <c r="E139" s="17" t="s">
        <v>6</v>
      </c>
      <c r="H139" s="61"/>
      <c r="I139" s="61"/>
      <c r="J139" s="61"/>
      <c r="K139"/>
      <c r="M139" s="61"/>
    </row>
    <row r="140" spans="1:13" ht="16.5" thickBot="1">
      <c r="A140" s="16" t="s">
        <v>138</v>
      </c>
      <c r="B140" s="23" t="s">
        <v>490</v>
      </c>
      <c r="C140" s="14" t="s">
        <v>129</v>
      </c>
      <c r="D140" s="14" t="s">
        <v>6</v>
      </c>
      <c r="E140" s="17" t="s">
        <v>6</v>
      </c>
      <c r="H140" s="61"/>
      <c r="I140" s="61"/>
      <c r="J140" s="61"/>
      <c r="K140"/>
      <c r="M140" s="61"/>
    </row>
    <row r="141" spans="1:13" ht="16.5" thickBot="1">
      <c r="A141" s="18" t="s">
        <v>139</v>
      </c>
      <c r="B141" s="50" t="s">
        <v>491</v>
      </c>
      <c r="C141" s="15" t="s">
        <v>129</v>
      </c>
      <c r="D141" s="15" t="s">
        <v>6</v>
      </c>
      <c r="E141" s="19" t="s">
        <v>6</v>
      </c>
      <c r="H141" s="61"/>
      <c r="I141" s="61"/>
      <c r="J141" s="61"/>
      <c r="K141"/>
      <c r="M141" s="61"/>
    </row>
    <row r="142" spans="1:13" ht="15.75">
      <c r="A142" s="124" t="s">
        <v>140</v>
      </c>
      <c r="B142" s="63" t="s">
        <v>493</v>
      </c>
      <c r="C142" s="7" t="s">
        <v>141</v>
      </c>
      <c r="D142" s="7" t="s">
        <v>21</v>
      </c>
      <c r="E142" s="8" t="s">
        <v>21</v>
      </c>
      <c r="H142" s="61"/>
      <c r="I142" s="61"/>
      <c r="J142" s="61"/>
      <c r="K142"/>
      <c r="M142" s="61"/>
    </row>
    <row r="143" spans="1:13" ht="15.75">
      <c r="A143" s="125"/>
      <c r="B143" s="23" t="s">
        <v>493</v>
      </c>
      <c r="C143" s="6" t="s">
        <v>5</v>
      </c>
      <c r="D143" s="6" t="s">
        <v>6</v>
      </c>
      <c r="E143" s="9" t="s">
        <v>6</v>
      </c>
      <c r="G143" s="61" t="str">
        <f>"&lt;CLASSSTRUCTURE&gt;&lt;CLASSSTRUCTUREID&gt;"&amp;B144&amp;"&lt;/CLASSSTRUCTUREID&gt;"</f>
        <v>&lt;CLASSSTRUCTURE&gt;&lt;CLASSSTRUCTUREID&gt;090000087800&lt;/CLASSSTRUCTUREID&gt;</v>
      </c>
      <c r="H143" s="61"/>
      <c r="I143" s="61"/>
      <c r="J143" s="61"/>
      <c r="K143"/>
      <c r="M143" s="61"/>
    </row>
    <row r="144" spans="1:13" ht="15.75">
      <c r="A144" s="125"/>
      <c r="B144" s="23" t="s">
        <v>493</v>
      </c>
      <c r="C144" s="6" t="s">
        <v>142</v>
      </c>
      <c r="D144" s="6"/>
      <c r="E144" s="9" t="s">
        <v>635</v>
      </c>
      <c r="G144" t="str">
        <f>"&lt;CLASSSPEC&gt;&lt;SECTION/&gt;&lt;ALNVALUE&gt;"&amp;C144&amp;"&lt;/ALNVALUE&gt;&lt;ASSETATTRID&gt;"&amp;E144&amp;"&lt;/ASSETATTRID&gt;&lt;/CLASSSPEC&gt;"</f>
        <v>&lt;CLASSSPEC&gt;&lt;SECTION/&gt;&lt;ALNVALUE&gt;Очистка порубочных остатков&lt;/ALNVALUE&gt;&lt;ASSETATTRID&gt;PMOBRAB01&lt;/ASSETATTRID&gt;&lt;/CLASSSPEC&gt;</v>
      </c>
      <c r="H144" s="61"/>
      <c r="I144" s="61"/>
      <c r="J144" s="61"/>
      <c r="K144"/>
      <c r="M144" s="61"/>
    </row>
    <row r="145" spans="1:13" ht="15.75">
      <c r="A145" s="125"/>
      <c r="B145" s="23" t="s">
        <v>493</v>
      </c>
      <c r="C145" s="6" t="s">
        <v>143</v>
      </c>
      <c r="D145" s="6"/>
      <c r="E145" s="9" t="s">
        <v>636</v>
      </c>
      <c r="G145" t="str">
        <f t="shared" ref="G145:G146" si="10">"&lt;CLASSSPEC&gt;&lt;SECTION/&gt;&lt;ALNVALUE&gt;"&amp;C145&amp;"&lt;/ALNVALUE&gt;&lt;ASSETATTRID&gt;"&amp;E145&amp;"&lt;/ASSETATTRID&gt;&lt;/CLASSSPEC&gt;"</f>
        <v>&lt;CLASSSPEC&gt;&lt;SECTION/&gt;&lt;ALNVALUE&gt;Уборка с/г шпал, тыс.шт.&lt;/ALNVALUE&gt;&lt;ASSETATTRID&gt;PMOBRAB02&lt;/ASSETATTRID&gt;&lt;/CLASSSPEC&gt;</v>
      </c>
      <c r="H145" s="61"/>
      <c r="I145" s="61"/>
      <c r="J145" s="61"/>
      <c r="K145"/>
      <c r="M145" s="61"/>
    </row>
    <row r="146" spans="1:13" ht="15.75">
      <c r="A146" s="125"/>
      <c r="B146" s="23" t="s">
        <v>493</v>
      </c>
      <c r="C146" s="6" t="s">
        <v>144</v>
      </c>
      <c r="D146" s="6"/>
      <c r="E146" s="9" t="s">
        <v>637</v>
      </c>
      <c r="G146" t="str">
        <f t="shared" si="10"/>
        <v>&lt;CLASSSPEC&gt;&lt;SECTION/&gt;&lt;ALNVALUE&gt;Вырубка древо-кустарниковой растительности, км.&lt;/ALNVALUE&gt;&lt;ASSETATTRID&gt;PMOBRAB03&lt;/ASSETATTRID&gt;&lt;/CLASSSPEC&gt;</v>
      </c>
      <c r="H146" s="61"/>
      <c r="I146" s="61"/>
      <c r="J146" s="61"/>
      <c r="K146"/>
      <c r="M146" s="61"/>
    </row>
    <row r="147" spans="1:13" ht="16.5" thickBot="1">
      <c r="A147" s="126"/>
      <c r="B147" s="64" t="s">
        <v>493</v>
      </c>
      <c r="C147" s="10" t="s">
        <v>145</v>
      </c>
      <c r="D147" s="10"/>
      <c r="E147" s="11" t="s">
        <v>638</v>
      </c>
      <c r="G147" t="str">
        <f>"&lt;CLASSSPEC&gt;&lt;SECTION/&gt;&lt;ALNVALUE&gt;"&amp;C147&amp;"&lt;/ALNVALUE&gt;&lt;ASSETATTRID&gt;"&amp;E147&amp;"&lt;/ASSETATTRID&gt;&lt;/CLASSSPEC&gt;&lt;/CLASSSTRUCTURE&gt;"</f>
        <v>&lt;CLASSSPEC&gt;&lt;SECTION/&gt;&lt;ALNVALUE&gt;Опашка защитных лесонасаждений и лесного фонда и обновление минполосы, км.&lt;/ALNVALUE&gt;&lt;ASSETATTRID&gt;PMOBRAB04&lt;/ASSETATTRID&gt;&lt;/CLASSSPEC&gt;&lt;/CLASSSTRUCTURE&gt;</v>
      </c>
      <c r="H147" s="61"/>
      <c r="I147" s="61"/>
      <c r="J147" s="61"/>
      <c r="K147"/>
      <c r="M147" s="61"/>
    </row>
    <row r="148" spans="1:13" ht="15.75">
      <c r="A148" s="119" t="s">
        <v>632</v>
      </c>
      <c r="B148" s="120" t="s">
        <v>442</v>
      </c>
      <c r="C148" s="121" t="s">
        <v>633</v>
      </c>
      <c r="D148" s="121"/>
      <c r="E148" s="109" t="s">
        <v>635</v>
      </c>
      <c r="G148" s="61" t="str">
        <f>"&lt;CLASSSTRUCTURE&gt;&lt;CLASSSTRUCTUREID&gt;"&amp;B148&amp;"&lt;/CLASSSTRUCTUREID&gt;"</f>
        <v>&lt;CLASSSTRUCTURE&gt;&lt;CLASSSTRUCTUREID&gt;090000070852&lt;/CLASSSTRUCTUREID&gt;</v>
      </c>
      <c r="H148" s="61"/>
      <c r="I148" s="61"/>
      <c r="J148" s="61"/>
      <c r="K148"/>
      <c r="M148" s="61"/>
    </row>
    <row r="149" spans="1:13" ht="15.75">
      <c r="G149" t="str">
        <f>"&lt;CLASSSPEC&gt;&lt;SECTION/&gt;&lt;ALNVALUE&gt;"&amp;C148&amp;"&lt;/ALNVALUE&gt;&lt;ASSETATTRID&gt;"&amp;E148&amp;"&lt;/ASSETATTRID&gt;&lt;/CLASSSPEC&gt;&lt;/CLASSSTRUCTURE&gt;"</f>
        <v>&lt;CLASSSPEC&gt;&lt;SECTION/&gt;&lt;ALNVALUE&gt;Количество комплектов&lt;/ALNVALUE&gt;&lt;ASSETATTRID&gt;PMOBRAB01&lt;/ASSETATTRID&gt;&lt;/CLASSSPEC&gt;&lt;/CLASSSTRUCTURE&gt;</v>
      </c>
      <c r="H149" s="61"/>
      <c r="I149" s="61"/>
      <c r="J149" s="61"/>
    </row>
    <row r="150" spans="1:13">
      <c r="H150" s="61"/>
      <c r="I150" s="61"/>
      <c r="J150" s="61"/>
    </row>
    <row r="151" spans="1:13">
      <c r="H151" s="61"/>
      <c r="I151" s="61"/>
      <c r="J151" s="61"/>
    </row>
    <row r="152" spans="1:13">
      <c r="H152" s="61"/>
      <c r="I152" s="61"/>
      <c r="J152" s="61"/>
    </row>
    <row r="153" spans="1:13">
      <c r="H153" s="61"/>
      <c r="I153" s="61"/>
      <c r="J153" s="61"/>
    </row>
    <row r="154" spans="1:13">
      <c r="H154" s="61"/>
      <c r="I154" s="61"/>
      <c r="J154" s="61"/>
    </row>
    <row r="155" spans="1:13">
      <c r="H155" s="61"/>
      <c r="I155" s="61"/>
      <c r="J155" s="61"/>
    </row>
    <row r="156" spans="1:13">
      <c r="H156" s="61"/>
      <c r="I156" s="61"/>
      <c r="J156" s="61"/>
    </row>
    <row r="157" spans="1:13">
      <c r="H157" s="61"/>
      <c r="I157" s="61"/>
      <c r="J157" s="61"/>
    </row>
    <row r="158" spans="1:13">
      <c r="H158" s="61"/>
      <c r="I158" s="61"/>
      <c r="J158" s="61"/>
    </row>
    <row r="159" spans="1:13">
      <c r="H159" s="61"/>
      <c r="I159" s="61"/>
      <c r="J159" s="61"/>
    </row>
    <row r="160" spans="1:13">
      <c r="H160" s="61"/>
      <c r="I160" s="61"/>
      <c r="J160" s="61"/>
    </row>
    <row r="161" spans="8:10">
      <c r="H161" s="61"/>
      <c r="I161" s="61"/>
      <c r="J161" s="61"/>
    </row>
    <row r="162" spans="8:10">
      <c r="H162" s="61"/>
      <c r="I162" s="61"/>
      <c r="J162" s="61"/>
    </row>
    <row r="163" spans="8:10">
      <c r="H163" s="61"/>
      <c r="I163" s="61"/>
      <c r="J163" s="61"/>
    </row>
    <row r="164" spans="8:10">
      <c r="H164" s="61"/>
      <c r="I164" s="61"/>
      <c r="J164" s="61"/>
    </row>
    <row r="165" spans="8:10">
      <c r="H165" s="61"/>
      <c r="I165" s="61"/>
      <c r="J165" s="61"/>
    </row>
    <row r="166" spans="8:10">
      <c r="H166" s="61"/>
      <c r="I166" s="61"/>
      <c r="J166" s="61"/>
    </row>
    <row r="167" spans="8:10">
      <c r="H167" s="61"/>
      <c r="I167" s="61"/>
      <c r="J167" s="61"/>
    </row>
    <row r="168" spans="8:10">
      <c r="H168" s="61"/>
      <c r="I168" s="61"/>
      <c r="J168" s="61"/>
    </row>
    <row r="169" spans="8:10">
      <c r="H169" s="61"/>
      <c r="I169" s="61"/>
      <c r="J169" s="61"/>
    </row>
    <row r="170" spans="8:10">
      <c r="H170" s="61"/>
      <c r="I170" s="61"/>
      <c r="J170" s="61"/>
    </row>
    <row r="171" spans="8:10">
      <c r="H171" s="61"/>
      <c r="I171" s="61"/>
      <c r="J171" s="61"/>
    </row>
    <row r="172" spans="8:10">
      <c r="H172" s="61"/>
      <c r="I172" s="61"/>
      <c r="J172" s="61"/>
    </row>
    <row r="173" spans="8:10">
      <c r="H173" s="61"/>
      <c r="I173" s="61"/>
      <c r="J173" s="61"/>
    </row>
    <row r="174" spans="8:10">
      <c r="H174" s="61"/>
      <c r="I174" s="61"/>
      <c r="J174" s="61"/>
    </row>
    <row r="175" spans="8:10">
      <c r="H175" s="61"/>
      <c r="I175" s="61"/>
      <c r="J175" s="61"/>
    </row>
    <row r="176" spans="8:10">
      <c r="H176" s="61"/>
      <c r="I176" s="61"/>
      <c r="J176" s="61"/>
    </row>
    <row r="177" spans="8:10">
      <c r="H177" s="61"/>
      <c r="I177" s="61"/>
      <c r="J177" s="61"/>
    </row>
    <row r="178" spans="8:10">
      <c r="H178" s="61"/>
      <c r="I178" s="61"/>
      <c r="J178" s="61"/>
    </row>
    <row r="179" spans="8:10">
      <c r="H179" s="61"/>
      <c r="I179" s="61"/>
      <c r="J179" s="61"/>
    </row>
    <row r="180" spans="8:10">
      <c r="H180" s="61"/>
      <c r="I180" s="61"/>
      <c r="J180" s="61"/>
    </row>
    <row r="181" spans="8:10">
      <c r="H181" s="61"/>
      <c r="I181" s="61"/>
      <c r="J181" s="61"/>
    </row>
    <row r="182" spans="8:10">
      <c r="H182" s="61"/>
      <c r="I182" s="61"/>
      <c r="J182" s="61"/>
    </row>
    <row r="183" spans="8:10">
      <c r="H183" s="61"/>
      <c r="I183" s="61"/>
      <c r="J183" s="61"/>
    </row>
    <row r="184" spans="8:10">
      <c r="H184" s="61"/>
      <c r="I184" s="61"/>
      <c r="J184" s="61"/>
    </row>
    <row r="185" spans="8:10">
      <c r="H185" s="61"/>
      <c r="I185" s="61"/>
      <c r="J185" s="61"/>
    </row>
    <row r="186" spans="8:10">
      <c r="H186" s="61"/>
      <c r="I186" s="61"/>
      <c r="J186" s="61"/>
    </row>
    <row r="187" spans="8:10">
      <c r="H187" s="61"/>
      <c r="I187" s="61"/>
      <c r="J187" s="61"/>
    </row>
    <row r="188" spans="8:10">
      <c r="H188" s="61"/>
      <c r="I188" s="61"/>
      <c r="J188" s="61"/>
    </row>
    <row r="189" spans="8:10">
      <c r="H189" s="61"/>
      <c r="I189" s="61"/>
      <c r="J189" s="61"/>
    </row>
    <row r="190" spans="8:10">
      <c r="H190" s="61"/>
      <c r="I190" s="61"/>
      <c r="J190" s="61"/>
    </row>
    <row r="191" spans="8:10">
      <c r="H191" s="61"/>
      <c r="I191" s="61"/>
      <c r="J191" s="61"/>
    </row>
    <row r="192" spans="8:10">
      <c r="H192" s="61"/>
      <c r="I192" s="61"/>
      <c r="J192" s="61"/>
    </row>
    <row r="193" spans="8:10">
      <c r="H193" s="61"/>
      <c r="I193" s="61"/>
      <c r="J193" s="61"/>
    </row>
    <row r="194" spans="8:10">
      <c r="H194" s="61"/>
      <c r="I194" s="61"/>
      <c r="J194" s="61"/>
    </row>
    <row r="195" spans="8:10">
      <c r="H195" s="61"/>
      <c r="I195" s="61"/>
      <c r="J195" s="61"/>
    </row>
    <row r="196" spans="8:10">
      <c r="H196" s="61"/>
      <c r="I196" s="61"/>
      <c r="J196" s="61"/>
    </row>
    <row r="197" spans="8:10">
      <c r="H197" s="61"/>
      <c r="I197" s="61"/>
      <c r="J197" s="61"/>
    </row>
    <row r="198" spans="8:10">
      <c r="H198" s="61"/>
      <c r="I198" s="61"/>
      <c r="J198" s="61"/>
    </row>
    <row r="199" spans="8:10">
      <c r="H199" s="61"/>
      <c r="I199" s="61"/>
      <c r="J199" s="61"/>
    </row>
    <row r="200" spans="8:10">
      <c r="H200" s="61"/>
      <c r="I200" s="61"/>
      <c r="J200" s="61"/>
    </row>
    <row r="201" spans="8:10">
      <c r="H201" s="61"/>
      <c r="I201" s="61"/>
      <c r="J201" s="61"/>
    </row>
    <row r="202" spans="8:10">
      <c r="H202" s="61"/>
      <c r="I202" s="61"/>
      <c r="J202" s="61"/>
    </row>
    <row r="203" spans="8:10">
      <c r="H203" s="61"/>
      <c r="I203" s="61"/>
      <c r="J203" s="61"/>
    </row>
    <row r="204" spans="8:10">
      <c r="H204" s="61"/>
      <c r="I204" s="61"/>
      <c r="J204" s="61"/>
    </row>
    <row r="205" spans="8:10">
      <c r="H205" s="61"/>
      <c r="I205" s="61"/>
      <c r="J205" s="61"/>
    </row>
    <row r="206" spans="8:10">
      <c r="H206" s="61"/>
      <c r="I206" s="61"/>
      <c r="J206" s="61"/>
    </row>
    <row r="207" spans="8:10">
      <c r="H207" s="61"/>
      <c r="I207" s="61"/>
      <c r="J207" s="61"/>
    </row>
    <row r="208" spans="8:10">
      <c r="H208" s="61"/>
      <c r="I208" s="61"/>
      <c r="J208" s="61"/>
    </row>
    <row r="209" spans="8:10">
      <c r="H209" s="61"/>
      <c r="I209" s="61"/>
      <c r="J209" s="61"/>
    </row>
    <row r="210" spans="8:10">
      <c r="H210" s="61"/>
      <c r="I210" s="61"/>
      <c r="J210" s="61"/>
    </row>
    <row r="211" spans="8:10">
      <c r="H211" s="61"/>
      <c r="I211" s="61"/>
      <c r="J211" s="61"/>
    </row>
    <row r="212" spans="8:10">
      <c r="H212" s="61"/>
      <c r="I212" s="61"/>
      <c r="J212" s="61"/>
    </row>
    <row r="213" spans="8:10">
      <c r="H213" s="61"/>
      <c r="I213" s="61"/>
      <c r="J213" s="61"/>
    </row>
    <row r="214" spans="8:10">
      <c r="H214" s="61"/>
      <c r="I214" s="61"/>
      <c r="J214" s="61"/>
    </row>
    <row r="215" spans="8:10">
      <c r="H215" s="61"/>
      <c r="I215" s="61"/>
      <c r="J215" s="61"/>
    </row>
    <row r="216" spans="8:10">
      <c r="H216" s="61"/>
      <c r="I216" s="61"/>
      <c r="J216" s="61"/>
    </row>
    <row r="217" spans="8:10">
      <c r="H217" s="61"/>
      <c r="I217" s="61"/>
      <c r="J217" s="61"/>
    </row>
    <row r="218" spans="8:10">
      <c r="H218" s="61"/>
      <c r="I218" s="61"/>
      <c r="J218" s="61"/>
    </row>
    <row r="219" spans="8:10">
      <c r="H219" s="61"/>
      <c r="I219" s="61"/>
      <c r="J219" s="61"/>
    </row>
    <row r="220" spans="8:10">
      <c r="H220" s="61"/>
      <c r="I220" s="61"/>
      <c r="J220" s="61"/>
    </row>
    <row r="221" spans="8:10">
      <c r="H221" s="61"/>
      <c r="I221" s="61"/>
      <c r="J221" s="61"/>
    </row>
    <row r="222" spans="8:10">
      <c r="H222" s="61"/>
      <c r="I222" s="61"/>
      <c r="J222" s="61"/>
    </row>
    <row r="223" spans="8:10">
      <c r="H223" s="61"/>
      <c r="I223" s="61"/>
      <c r="J223" s="61"/>
    </row>
    <row r="224" spans="8:10">
      <c r="H224" s="61"/>
      <c r="I224" s="61"/>
      <c r="J224" s="61"/>
    </row>
    <row r="225" spans="8:10">
      <c r="H225" s="61"/>
      <c r="I225" s="61"/>
      <c r="J225" s="61"/>
    </row>
    <row r="226" spans="8:10">
      <c r="H226" s="61"/>
      <c r="I226" s="61"/>
      <c r="J226" s="61"/>
    </row>
    <row r="227" spans="8:10">
      <c r="H227" s="61"/>
      <c r="I227" s="61"/>
      <c r="J227" s="61"/>
    </row>
    <row r="228" spans="8:10">
      <c r="H228" s="61"/>
      <c r="I228" s="61"/>
      <c r="J228" s="61"/>
    </row>
    <row r="229" spans="8:10">
      <c r="H229" s="61"/>
      <c r="I229" s="61"/>
      <c r="J229" s="61"/>
    </row>
    <row r="230" spans="8:10">
      <c r="H230" s="61"/>
      <c r="I230" s="61"/>
      <c r="J230" s="61"/>
    </row>
    <row r="231" spans="8:10">
      <c r="H231" s="61"/>
      <c r="I231" s="61"/>
      <c r="J231" s="61"/>
    </row>
    <row r="232" spans="8:10">
      <c r="H232" s="61"/>
      <c r="I232" s="61"/>
      <c r="J232" s="61"/>
    </row>
    <row r="233" spans="8:10">
      <c r="H233" s="61"/>
      <c r="I233" s="61"/>
      <c r="J233" s="61"/>
    </row>
    <row r="234" spans="8:10">
      <c r="H234" s="61"/>
      <c r="I234" s="61"/>
      <c r="J234" s="61"/>
    </row>
    <row r="235" spans="8:10">
      <c r="H235" s="61"/>
      <c r="I235" s="61"/>
      <c r="J235" s="61"/>
    </row>
    <row r="236" spans="8:10">
      <c r="H236" s="61"/>
      <c r="I236" s="61"/>
      <c r="J236" s="61"/>
    </row>
    <row r="237" spans="8:10">
      <c r="H237" s="61"/>
      <c r="I237" s="61"/>
      <c r="J237" s="61"/>
    </row>
    <row r="238" spans="8:10">
      <c r="H238" s="61"/>
      <c r="I238" s="61"/>
      <c r="J238" s="61"/>
    </row>
    <row r="239" spans="8:10">
      <c r="H239" s="61"/>
      <c r="I239" s="61"/>
      <c r="J239" s="61"/>
    </row>
    <row r="240" spans="8:10">
      <c r="H240" s="61"/>
      <c r="I240" s="61"/>
      <c r="J240" s="61"/>
    </row>
    <row r="241" spans="8:10">
      <c r="H241" s="61"/>
      <c r="I241" s="61"/>
      <c r="J241" s="61"/>
    </row>
    <row r="242" spans="8:10">
      <c r="H242" s="61"/>
      <c r="I242" s="61"/>
      <c r="J242" s="61"/>
    </row>
    <row r="243" spans="8:10">
      <c r="H243" s="61"/>
      <c r="I243" s="61"/>
      <c r="J243" s="61"/>
    </row>
    <row r="244" spans="8:10">
      <c r="H244" s="61"/>
      <c r="I244" s="61"/>
      <c r="J244" s="61"/>
    </row>
    <row r="245" spans="8:10">
      <c r="H245" s="61"/>
      <c r="I245" s="61"/>
      <c r="J245" s="61"/>
    </row>
    <row r="246" spans="8:10">
      <c r="H246" s="61"/>
      <c r="I246" s="61"/>
      <c r="J246" s="61"/>
    </row>
    <row r="247" spans="8:10">
      <c r="H247" s="61"/>
      <c r="I247" s="61"/>
      <c r="J247" s="61"/>
    </row>
    <row r="248" spans="8:10">
      <c r="H248" s="61"/>
      <c r="I248" s="61"/>
      <c r="J248" s="61"/>
    </row>
    <row r="249" spans="8:10">
      <c r="H249" s="61"/>
      <c r="I249" s="61"/>
      <c r="J249" s="61"/>
    </row>
    <row r="250" spans="8:10">
      <c r="H250" s="61"/>
      <c r="I250" s="61"/>
      <c r="J250" s="61"/>
    </row>
    <row r="251" spans="8:10">
      <c r="H251" s="61"/>
      <c r="I251" s="61"/>
      <c r="J251" s="61"/>
    </row>
    <row r="252" spans="8:10">
      <c r="H252" s="61"/>
      <c r="I252" s="61"/>
      <c r="J252" s="61"/>
    </row>
    <row r="253" spans="8:10">
      <c r="H253" s="61"/>
      <c r="I253" s="61"/>
      <c r="J253" s="61"/>
    </row>
    <row r="254" spans="8:10">
      <c r="H254" s="61"/>
      <c r="I254" s="61"/>
      <c r="J254" s="61"/>
    </row>
    <row r="255" spans="8:10">
      <c r="H255" s="61"/>
      <c r="I255" s="61"/>
      <c r="J255" s="61"/>
    </row>
    <row r="256" spans="8:10">
      <c r="H256" s="61"/>
      <c r="I256" s="61"/>
      <c r="J256" s="61"/>
    </row>
    <row r="257" spans="8:10">
      <c r="H257" s="61"/>
      <c r="I257" s="61"/>
      <c r="J257" s="61"/>
    </row>
    <row r="258" spans="8:10">
      <c r="H258" s="61"/>
      <c r="I258" s="61"/>
      <c r="J258" s="61"/>
    </row>
    <row r="259" spans="8:10">
      <c r="H259" s="61"/>
      <c r="I259" s="61"/>
      <c r="J259" s="61"/>
    </row>
    <row r="260" spans="8:10">
      <c r="H260" s="61"/>
      <c r="I260" s="61"/>
      <c r="J260" s="61"/>
    </row>
    <row r="261" spans="8:10">
      <c r="H261" s="61"/>
      <c r="I261" s="61"/>
      <c r="J261" s="61"/>
    </row>
    <row r="262" spans="8:10">
      <c r="H262" s="61"/>
      <c r="I262" s="61"/>
      <c r="J262" s="61"/>
    </row>
    <row r="263" spans="8:10">
      <c r="H263" s="61"/>
      <c r="I263" s="61"/>
      <c r="J263" s="61"/>
    </row>
    <row r="264" spans="8:10">
      <c r="H264" s="61"/>
      <c r="I264" s="61"/>
      <c r="J264" s="61"/>
    </row>
    <row r="265" spans="8:10">
      <c r="H265" s="61"/>
      <c r="I265" s="61"/>
      <c r="J265" s="61"/>
    </row>
    <row r="266" spans="8:10">
      <c r="H266" s="61"/>
      <c r="I266" s="61"/>
      <c r="J266" s="61"/>
    </row>
    <row r="267" spans="8:10">
      <c r="H267" s="61"/>
      <c r="I267" s="61"/>
      <c r="J267" s="61"/>
    </row>
    <row r="268" spans="8:10">
      <c r="H268" s="61"/>
      <c r="I268" s="61"/>
      <c r="J268" s="61"/>
    </row>
    <row r="269" spans="8:10">
      <c r="H269" s="61"/>
      <c r="I269" s="61"/>
      <c r="J269" s="61"/>
    </row>
    <row r="270" spans="8:10">
      <c r="H270" s="61"/>
      <c r="I270" s="61"/>
      <c r="J270" s="61"/>
    </row>
    <row r="271" spans="8:10">
      <c r="H271" s="61"/>
      <c r="I271" s="61"/>
      <c r="J271" s="61"/>
    </row>
    <row r="272" spans="8:10">
      <c r="H272" s="61"/>
      <c r="I272" s="61"/>
      <c r="J272" s="61"/>
    </row>
    <row r="273" spans="8:10">
      <c r="H273" s="61"/>
      <c r="I273" s="61"/>
      <c r="J273" s="61"/>
    </row>
    <row r="274" spans="8:10">
      <c r="H274" s="61"/>
      <c r="I274" s="61"/>
      <c r="J274" s="61"/>
    </row>
    <row r="275" spans="8:10">
      <c r="H275" s="61"/>
      <c r="I275" s="61"/>
      <c r="J275" s="61"/>
    </row>
    <row r="276" spans="8:10">
      <c r="H276" s="61"/>
      <c r="I276" s="61"/>
      <c r="J276" s="61"/>
    </row>
    <row r="277" spans="8:10">
      <c r="H277" s="61"/>
      <c r="I277" s="61"/>
      <c r="J277" s="61"/>
    </row>
    <row r="278" spans="8:10">
      <c r="H278" s="61"/>
      <c r="I278" s="61"/>
      <c r="J278" s="61"/>
    </row>
    <row r="279" spans="8:10">
      <c r="H279" s="61"/>
      <c r="I279" s="61"/>
      <c r="J279" s="61"/>
    </row>
    <row r="280" spans="8:10">
      <c r="H280" s="61"/>
      <c r="I280" s="61"/>
      <c r="J280" s="61"/>
    </row>
    <row r="281" spans="8:10">
      <c r="H281" s="61"/>
      <c r="I281" s="61"/>
      <c r="J281" s="61"/>
    </row>
    <row r="282" spans="8:10">
      <c r="H282" s="61"/>
      <c r="I282" s="61"/>
      <c r="J282" s="61"/>
    </row>
    <row r="283" spans="8:10">
      <c r="H283" s="61"/>
      <c r="I283" s="61"/>
      <c r="J283" s="61"/>
    </row>
    <row r="284" spans="8:10">
      <c r="H284" s="61"/>
      <c r="I284" s="61"/>
      <c r="J284" s="61"/>
    </row>
    <row r="285" spans="8:10">
      <c r="H285" s="61"/>
      <c r="I285" s="61"/>
      <c r="J285" s="61"/>
    </row>
    <row r="286" spans="8:10">
      <c r="H286" s="61"/>
      <c r="I286" s="61"/>
      <c r="J286" s="61"/>
    </row>
    <row r="287" spans="8:10">
      <c r="H287" s="61"/>
      <c r="I287" s="61"/>
      <c r="J287" s="61"/>
    </row>
    <row r="288" spans="8:10">
      <c r="H288" s="61"/>
      <c r="I288" s="61"/>
      <c r="J288" s="61"/>
    </row>
    <row r="289" spans="8:10">
      <c r="H289" s="61"/>
      <c r="I289" s="61"/>
      <c r="J289" s="61"/>
    </row>
    <row r="290" spans="8:10">
      <c r="H290" s="61"/>
      <c r="I290" s="61"/>
      <c r="J290" s="61"/>
    </row>
    <row r="291" spans="8:10">
      <c r="H291" s="61"/>
      <c r="I291" s="61"/>
      <c r="J291" s="61"/>
    </row>
    <row r="292" spans="8:10">
      <c r="H292" s="61"/>
      <c r="I292" s="61"/>
      <c r="J292" s="61"/>
    </row>
    <row r="293" spans="8:10">
      <c r="H293" s="61"/>
      <c r="I293" s="61"/>
      <c r="J293" s="61"/>
    </row>
    <row r="294" spans="8:10">
      <c r="H294" s="61"/>
      <c r="I294" s="61"/>
      <c r="J294" s="61"/>
    </row>
    <row r="295" spans="8:10">
      <c r="H295" s="61"/>
      <c r="I295" s="61"/>
      <c r="J295" s="61"/>
    </row>
    <row r="296" spans="8:10">
      <c r="H296" s="61"/>
      <c r="I296" s="61"/>
      <c r="J296" s="61"/>
    </row>
    <row r="297" spans="8:10">
      <c r="H297" s="61"/>
      <c r="I297" s="61"/>
      <c r="J297" s="61"/>
    </row>
    <row r="298" spans="8:10">
      <c r="H298" s="61"/>
      <c r="I298" s="61"/>
      <c r="J298" s="61"/>
    </row>
    <row r="299" spans="8:10">
      <c r="H299" s="61"/>
      <c r="I299" s="61"/>
      <c r="J299" s="61"/>
    </row>
    <row r="300" spans="8:10">
      <c r="H300" s="61"/>
      <c r="I300" s="61"/>
      <c r="J300" s="61"/>
    </row>
    <row r="301" spans="8:10">
      <c r="H301" s="61"/>
      <c r="I301" s="61"/>
      <c r="J301" s="61"/>
    </row>
    <row r="302" spans="8:10">
      <c r="H302" s="61"/>
      <c r="I302" s="61"/>
      <c r="J302" s="61"/>
    </row>
    <row r="303" spans="8:10">
      <c r="H303" s="61"/>
      <c r="I303" s="61"/>
      <c r="J303" s="61"/>
    </row>
  </sheetData>
  <mergeCells count="20">
    <mergeCell ref="A2:A27"/>
    <mergeCell ref="A28:A32"/>
    <mergeCell ref="A33:A42"/>
    <mergeCell ref="A48:A49"/>
    <mergeCell ref="A50:A51"/>
    <mergeCell ref="A142:A147"/>
    <mergeCell ref="A44:A47"/>
    <mergeCell ref="A129:A130"/>
    <mergeCell ref="A104:A111"/>
    <mergeCell ref="A113:A115"/>
    <mergeCell ref="A121:A127"/>
    <mergeCell ref="A88:A93"/>
    <mergeCell ref="A53:A54"/>
    <mergeCell ref="A57:A61"/>
    <mergeCell ref="A62:A63"/>
    <mergeCell ref="A64:A70"/>
    <mergeCell ref="A71:A77"/>
    <mergeCell ref="A81:A83"/>
    <mergeCell ref="A78:A80"/>
    <mergeCell ref="A84:A86"/>
  </mergeCells>
  <pageMargins left="0.7" right="0.7" top="0.75" bottom="0.75" header="0.3" footer="0.3"/>
  <pageSetup paperSize="9" orientation="portrait" r:id="rId1"/>
  <ignoredErrors>
    <ignoredError sqref="A62 A78 A81 A84 A103 A121 A128" numberStoredAsText="1"/>
  </ignoredErrors>
  <legacyDrawing r:id="rId2"/>
</worksheet>
</file>

<file path=xl/worksheets/sheet2.xml><?xml version="1.0" encoding="utf-8"?>
<worksheet xmlns="http://schemas.openxmlformats.org/spreadsheetml/2006/main" xmlns:r="http://schemas.openxmlformats.org/officeDocument/2006/relationships">
  <dimension ref="A1:P109"/>
  <sheetViews>
    <sheetView topLeftCell="B1" workbookViewId="0">
      <pane ySplit="1" topLeftCell="A8" activePane="bottomLeft" state="frozen"/>
      <selection pane="bottomLeft" activeCell="D21" sqref="D21"/>
    </sheetView>
  </sheetViews>
  <sheetFormatPr defaultRowHeight="15.75"/>
  <cols>
    <col min="1" max="1" width="62.5703125" style="26" customWidth="1"/>
    <col min="2" max="2" width="74.42578125" style="26" customWidth="1"/>
    <col min="3" max="3" width="12" style="21" bestFit="1" customWidth="1"/>
    <col min="4" max="4" width="21.5703125" style="21" customWidth="1"/>
    <col min="5" max="5" width="15.5703125" style="27" bestFit="1" customWidth="1"/>
    <col min="6" max="6" width="12" style="21" bestFit="1" customWidth="1"/>
    <col min="7" max="7" width="17" style="21" bestFit="1" customWidth="1"/>
    <col min="8" max="8" width="12.7109375" style="1" customWidth="1"/>
    <col min="9" max="10" width="9.140625" style="1"/>
    <col min="11" max="11" width="13.42578125" style="1" customWidth="1"/>
    <col min="13" max="16384" width="9.140625" style="1"/>
  </cols>
  <sheetData>
    <row r="1" spans="1:16">
      <c r="A1" s="72" t="s">
        <v>149</v>
      </c>
      <c r="B1" s="72" t="s">
        <v>150</v>
      </c>
      <c r="C1" s="73" t="s">
        <v>146</v>
      </c>
      <c r="D1" s="73" t="s">
        <v>334</v>
      </c>
      <c r="E1" s="74" t="s">
        <v>417</v>
      </c>
      <c r="F1" s="73" t="s">
        <v>583</v>
      </c>
      <c r="G1" s="73" t="s">
        <v>584</v>
      </c>
    </row>
    <row r="2" spans="1:16" ht="30">
      <c r="A2" s="22" t="s">
        <v>196</v>
      </c>
      <c r="B2" s="22" t="s">
        <v>196</v>
      </c>
      <c r="C2" s="23" t="s">
        <v>168</v>
      </c>
      <c r="D2" s="6" t="s">
        <v>335</v>
      </c>
      <c r="E2" s="65" t="s">
        <v>419</v>
      </c>
      <c r="F2" s="71">
        <v>10001000006</v>
      </c>
      <c r="G2" s="6" t="str">
        <f t="shared" ref="G2:G33" si="0">IF(E2&lt;&gt;0,"gppr_p_"&amp;RIGHT(E2,5),0)</f>
        <v>gppr_p_70799</v>
      </c>
      <c r="I2" t="str">
        <f>"&lt;CLASSSTRUCTURE&gt;&lt;CLASSIFICATIONID&gt;"&amp;G2&amp;"&lt;/CLASSIFICATIONID&gt;&lt;CLASSSTRUCTUREID&gt;"&amp;E2&amp;"&lt;/CLASSSTRUCTUREID&gt;&lt;DESCRIPTION&gt;"&amp;B2&amp;"&lt;/DESCRIPTION&gt;&lt;PARENT&gt;0"&amp;F2&amp;"&lt;/PARENT&gt;&lt;/CLASSSTRUCTURE&gt;"</f>
        <v>&lt;CLASSSTRUCTURE&gt;&lt;CLASSIFICATIONID&gt;gppr_p_70799&lt;/CLASSIFICATIONID&gt;&lt;CLASSSTRUCTUREID&gt;090000070799&lt;/CLASSSTRUCTUREID&gt;&lt;DESCRIPTION&gt;Адресный план планово-предупредительной выправки пути комплексами путевых машин&lt;/DESCRIPTION&gt;&lt;PARENT&gt;010001000006&lt;/PARENT&gt;&lt;/CLASSSTRUCTURE&gt;</v>
      </c>
      <c r="J2" s="36" t="s">
        <v>578</v>
      </c>
      <c r="K2" s="1" t="str">
        <f>"(select namerab1 from masterpm where masterpmnum=:masterpm)='"&amp;E2&amp;"'"</f>
        <v>(select namerab1 from masterpm where masterpmnum=:masterpm)='090000070799'</v>
      </c>
      <c r="L2" s="36" t="s">
        <v>578</v>
      </c>
      <c r="M2" t="str">
        <f>" &lt;APPLICATIONAUTH&gt;&lt;APP&gt;MASTERPM&lt;/APP&gt;&lt;CONDITIONNUM&gt;"&amp;D2&amp;"&lt;/CONDITIONNUM&gt;&lt;GROUPNAME&gt;SL_P&lt;/GROUPNAME&gt;&lt;OPTIONNAME&gt;"&amp;D2&amp;"&lt;/OPTIONNAME&gt;&lt;/APPLICATIONAUTH&gt;"</f>
        <v xml:space="preserve"> &lt;APPLICATIONAUTH&gt;&lt;APP&gt;MASTERPM&lt;/APP&gt;&lt;CONDITIONNUM&gt;PMPLAN01&lt;/CONDITIONNUM&gt;&lt;GROUPNAME&gt;SL_P&lt;/GROUPNAME&gt;&lt;OPTIONNAME&gt;PMPLAN01&lt;/OPTIONNAME&gt;&lt;/APPLICATIONAUTH&gt;</v>
      </c>
      <c r="N2" s="61" t="s">
        <v>578</v>
      </c>
      <c r="P2" s="1" t="str">
        <f>"&lt;CONDITION&gt;&lt;CLASSNAME/&gt;&lt;CONDITIONNUM&gt;"&amp;D2&amp;"&lt;/CONDITIONNUM&gt;&lt;DESCRIPTION&gt;Условия для опции подписи """&amp;D2&amp;"""&lt;/DESCRIPTION&gt;&lt;EXPRESSION&gt;&lt;![CDATA["&amp;K2&amp;"]]&gt;&lt;/EXPRESSION&gt;&lt;TYPE&gt;ВЫРАЖЕНИЕ&lt;/TYPE&gt;&lt;/CONDITION&gt;"</f>
        <v>&lt;CONDITION&gt;&lt;CLASSNAME/&gt;&lt;CONDITIONNUM&gt;PMPLAN01&lt;/CONDITIONNUM&gt;&lt;DESCRIPTION&gt;Условия для опции подписи "PMPLAN01"&lt;/DESCRIPTION&gt;&lt;EXPRESSION&gt;&lt;![CDATA[(select namerab1 from masterpm where masterpmnum=:masterpm)='090000070799']]&gt;&lt;/EXPRESSION&gt;&lt;TYPE&gt;ВЫРАЖЕНИЕ&lt;/TYPE&gt;&lt;/CONDITION&gt;</v>
      </c>
    </row>
    <row r="3" spans="1:16" ht="30">
      <c r="A3" s="22" t="s">
        <v>169</v>
      </c>
      <c r="B3" s="22" t="s">
        <v>169</v>
      </c>
      <c r="C3" s="23" t="s">
        <v>170</v>
      </c>
      <c r="D3" s="6" t="s">
        <v>336</v>
      </c>
      <c r="E3" s="65" t="s">
        <v>420</v>
      </c>
      <c r="F3" s="71">
        <v>10001000006</v>
      </c>
      <c r="G3" s="6" t="str">
        <f t="shared" si="0"/>
        <v>gppr_p_70802</v>
      </c>
      <c r="I3" t="str">
        <f t="shared" ref="I3:I33" si="1">"&lt;CLASSSTRUCTURE&gt;&lt;CLASSIFICATIONID&gt;"&amp;G3&amp;"&lt;/CLASSIFICATIONID&gt;&lt;CLASSSTRUCTUREID&gt;"&amp;E3&amp;"&lt;/CLASSSTRUCTUREID&gt;&lt;DESCRIPTION&gt;"&amp;B3&amp;"&lt;/DESCRIPTION&gt;&lt;PARENT&gt;0"&amp;F3&amp;"&lt;/PARENT&gt;&lt;/CLASSSTRUCTURE&gt;"</f>
        <v>&lt;CLASSSTRUCTURE&gt;&lt;CLASSIFICATIONID&gt;gppr_p_70802&lt;/CLASSIFICATIONID&gt;&lt;CLASSSTRUCTUREID&gt;090000070802&lt;/CLASSSTRUCTUREID&gt;&lt;DESCRIPTION&gt;Адресный план выполнения выправки пути одиночными путевыми машинами&lt;/DESCRIPTION&gt;&lt;PARENT&gt;010001000006&lt;/PARENT&gt;&lt;/CLASSSTRUCTURE&gt;</v>
      </c>
      <c r="J3" s="36" t="s">
        <v>578</v>
      </c>
      <c r="K3" s="1" t="str">
        <f t="shared" ref="K3:K33" si="2">"(select namerab1 from masterpm where masterpmnum=:masterpm)='"&amp;E3&amp;"'"</f>
        <v>(select namerab1 from masterpm where masterpmnum=:masterpm)='090000070802'</v>
      </c>
      <c r="L3" s="36" t="s">
        <v>578</v>
      </c>
      <c r="M3" t="str">
        <f t="shared" ref="M3:M34" si="3">" &lt;APPLICATIONAUTH&gt;&lt;APP&gt;MASTERPM&lt;/APP&gt;&lt;CONDITIONNUM&gt;"&amp;D3&amp;"&lt;/CONDITIONNUM&gt;&lt;GROUPNAME&gt;SL_P&lt;/GROUPNAME&gt;&lt;OPTIONNAME&gt;"&amp;D3&amp;"&lt;/OPTIONNAME&gt;&lt;/APPLICATIONAUTH&gt;"</f>
        <v xml:space="preserve"> &lt;APPLICATIONAUTH&gt;&lt;APP&gt;MASTERPM&lt;/APP&gt;&lt;CONDITIONNUM&gt;PMPLAN02&lt;/CONDITIONNUM&gt;&lt;GROUPNAME&gt;SL_P&lt;/GROUPNAME&gt;&lt;OPTIONNAME&gt;PMPLAN02&lt;/OPTIONNAME&gt;&lt;/APPLICATIONAUTH&gt;</v>
      </c>
      <c r="N3" s="61" t="s">
        <v>578</v>
      </c>
      <c r="P3" s="1" t="str">
        <f t="shared" ref="P3:P33" si="4">"&lt;CONDITION&gt;&lt;CLASSNAME/&gt;&lt;CONDITIONNUM&gt;"&amp;D3&amp;"&lt;/CONDITIONNUM&gt;&lt;DESCRIPTION&gt;Условия для опции подписи """&amp;D3&amp;"""&lt;/DESCRIPTION&gt;&lt;EXPRESSION&gt;&lt;![CDATA["&amp;K3&amp;"]]&gt;&lt;/EXPRESSION&gt;&lt;TYPE&gt;ВЫРАЖЕНИЕ&lt;/TYPE&gt;&lt;/CONDITION&gt;"</f>
        <v>&lt;CONDITION&gt;&lt;CLASSNAME/&gt;&lt;CONDITIONNUM&gt;PMPLAN02&lt;/CONDITIONNUM&gt;&lt;DESCRIPTION&gt;Условия для опции подписи "PMPLAN02"&lt;/DESCRIPTION&gt;&lt;EXPRESSION&gt;&lt;![CDATA[(select namerab1 from masterpm where masterpmnum=:masterpm)='090000070802']]&gt;&lt;/EXPRESSION&gt;&lt;TYPE&gt;ВЫРАЖЕНИЕ&lt;/TYPE&gt;&lt;/CONDITION&gt;</v>
      </c>
    </row>
    <row r="4" spans="1:16" ht="30">
      <c r="A4" s="22" t="s">
        <v>171</v>
      </c>
      <c r="B4" s="22" t="s">
        <v>171</v>
      </c>
      <c r="C4" s="23" t="s">
        <v>172</v>
      </c>
      <c r="D4" s="6" t="s">
        <v>337</v>
      </c>
      <c r="E4" s="65" t="s">
        <v>421</v>
      </c>
      <c r="F4" s="71">
        <v>10001000006</v>
      </c>
      <c r="G4" s="6" t="str">
        <f t="shared" si="0"/>
        <v>gppr_p_70804</v>
      </c>
      <c r="I4" t="str">
        <f t="shared" si="1"/>
        <v>&lt;CLASSSTRUCTURE&gt;&lt;CLASSIFICATIONID&gt;gppr_p_70804&lt;/CLASSIFICATIONID&gt;&lt;CLASSSTRUCTUREID&gt;090000070804&lt;/CLASSSTRUCTUREID&gt;&lt;DESCRIPTION&gt;Адресный план планово-предупредительной выправки стрелочных переводов путевыми машинами&lt;/DESCRIPTION&gt;&lt;PARENT&gt;010001000006&lt;/PARENT&gt;&lt;/CLASSSTRUCTURE&gt;</v>
      </c>
      <c r="J4" s="36" t="s">
        <v>578</v>
      </c>
      <c r="K4" s="1" t="str">
        <f t="shared" si="2"/>
        <v>(select namerab1 from masterpm where masterpmnum=:masterpm)='090000070804'</v>
      </c>
      <c r="L4" s="36" t="s">
        <v>578</v>
      </c>
      <c r="M4" t="str">
        <f t="shared" si="3"/>
        <v xml:space="preserve"> &lt;APPLICATIONAUTH&gt;&lt;APP&gt;MASTERPM&lt;/APP&gt;&lt;CONDITIONNUM&gt;PMPLAN03&lt;/CONDITIONNUM&gt;&lt;GROUPNAME&gt;SL_P&lt;/GROUPNAME&gt;&lt;OPTIONNAME&gt;PMPLAN03&lt;/OPTIONNAME&gt;&lt;/APPLICATIONAUTH&gt;</v>
      </c>
      <c r="N4" s="61" t="s">
        <v>578</v>
      </c>
      <c r="P4" s="1" t="str">
        <f t="shared" si="4"/>
        <v>&lt;CONDITION&gt;&lt;CLASSNAME/&gt;&lt;CONDITIONNUM&gt;PMPLAN03&lt;/CONDITIONNUM&gt;&lt;DESCRIPTION&gt;Условия для опции подписи "PMPLAN03"&lt;/DESCRIPTION&gt;&lt;EXPRESSION&gt;&lt;![CDATA[(select namerab1 from masterpm where masterpmnum=:masterpm)='090000070804']]&gt;&lt;/EXPRESSION&gt;&lt;TYPE&gt;ВЫРАЖЕНИЕ&lt;/TYPE&gt;&lt;/CONDITION&gt;</v>
      </c>
    </row>
    <row r="5" spans="1:16" ht="30">
      <c r="A5" s="22" t="s">
        <v>173</v>
      </c>
      <c r="B5" s="22" t="s">
        <v>173</v>
      </c>
      <c r="C5" s="23" t="s">
        <v>174</v>
      </c>
      <c r="D5" s="6" t="s">
        <v>338</v>
      </c>
      <c r="E5" s="65" t="s">
        <v>422</v>
      </c>
      <c r="F5" s="71">
        <v>10001000006</v>
      </c>
      <c r="G5" s="6" t="str">
        <f t="shared" si="0"/>
        <v>gppr_p_70806</v>
      </c>
      <c r="I5" t="str">
        <f t="shared" si="1"/>
        <v>&lt;CLASSSTRUCTURE&gt;&lt;CLASSIFICATIONID&gt;gppr_p_70806&lt;/CLASSIFICATIONID&gt;&lt;CLASSSTRUCTUREID&gt;090000070806&lt;/CLASSSTRUCTUREID&gt;&lt;DESCRIPTION&gt;Адресный план комплексной выправки кривых с постановкой их в расчетное положение&lt;/DESCRIPTION&gt;&lt;PARENT&gt;010001000006&lt;/PARENT&gt;&lt;/CLASSSTRUCTURE&gt;</v>
      </c>
      <c r="J5" s="36" t="s">
        <v>578</v>
      </c>
      <c r="K5" s="1" t="str">
        <f t="shared" si="2"/>
        <v>(select namerab1 from masterpm where masterpmnum=:masterpm)='090000070806'</v>
      </c>
      <c r="L5" s="36" t="s">
        <v>578</v>
      </c>
      <c r="M5" t="str">
        <f t="shared" si="3"/>
        <v xml:space="preserve"> &lt;APPLICATIONAUTH&gt;&lt;APP&gt;MASTERPM&lt;/APP&gt;&lt;CONDITIONNUM&gt;PMPLAN04&lt;/CONDITIONNUM&gt;&lt;GROUPNAME&gt;SL_P&lt;/GROUPNAME&gt;&lt;OPTIONNAME&gt;PMPLAN04&lt;/OPTIONNAME&gt;&lt;/APPLICATIONAUTH&gt;</v>
      </c>
      <c r="N5" s="61" t="s">
        <v>578</v>
      </c>
      <c r="P5" s="1" t="str">
        <f t="shared" si="4"/>
        <v>&lt;CONDITION&gt;&lt;CLASSNAME/&gt;&lt;CONDITIONNUM&gt;PMPLAN04&lt;/CONDITIONNUM&gt;&lt;DESCRIPTION&gt;Условия для опции подписи "PMPLAN04"&lt;/DESCRIPTION&gt;&lt;EXPRESSION&gt;&lt;![CDATA[(select namerab1 from masterpm where masterpmnum=:masterpm)='090000070806']]&gt;&lt;/EXPRESSION&gt;&lt;TYPE&gt;ВЫРАЖЕНИЕ&lt;/TYPE&gt;&lt;/CONDITION&gt;</v>
      </c>
    </row>
    <row r="6" spans="1:16">
      <c r="A6" s="22" t="s">
        <v>175</v>
      </c>
      <c r="B6" s="22" t="s">
        <v>175</v>
      </c>
      <c r="C6" s="23" t="s">
        <v>500</v>
      </c>
      <c r="D6" s="6" t="s">
        <v>339</v>
      </c>
      <c r="E6" s="65" t="s">
        <v>423</v>
      </c>
      <c r="F6" s="71">
        <v>10001000006</v>
      </c>
      <c r="G6" s="6" t="str">
        <f t="shared" si="0"/>
        <v>gppr_p_70808</v>
      </c>
      <c r="I6" t="str">
        <f t="shared" si="1"/>
        <v>&lt;CLASSSTRUCTURE&gt;&lt;CLASSIFICATIONID&gt;gppr_p_70808&lt;/CLASSIFICATIONID&gt;&lt;CLASSSTRUCTUREID&gt;090000070808&lt;/CLASSSTRUCTUREID&gt;&lt;DESCRIPTION&gt;Адресный план усиления закрестовинных, переводных кривых&lt;/DESCRIPTION&gt;&lt;PARENT&gt;010001000006&lt;/PARENT&gt;&lt;/CLASSSTRUCTURE&gt;</v>
      </c>
      <c r="J6" s="36" t="s">
        <v>578</v>
      </c>
      <c r="K6" s="1" t="str">
        <f t="shared" si="2"/>
        <v>(select namerab1 from masterpm where masterpmnum=:masterpm)='090000070808'</v>
      </c>
      <c r="L6" s="36" t="s">
        <v>578</v>
      </c>
      <c r="M6" t="str">
        <f t="shared" si="3"/>
        <v xml:space="preserve"> &lt;APPLICATIONAUTH&gt;&lt;APP&gt;MASTERPM&lt;/APP&gt;&lt;CONDITIONNUM&gt;PMPLAN05&lt;/CONDITIONNUM&gt;&lt;GROUPNAME&gt;SL_P&lt;/GROUPNAME&gt;&lt;OPTIONNAME&gt;PMPLAN05&lt;/OPTIONNAME&gt;&lt;/APPLICATIONAUTH&gt;</v>
      </c>
      <c r="N6" s="61" t="s">
        <v>578</v>
      </c>
      <c r="P6" s="1" t="str">
        <f t="shared" si="4"/>
        <v>&lt;CONDITION&gt;&lt;CLASSNAME/&gt;&lt;CONDITIONNUM&gt;PMPLAN05&lt;/CONDITIONNUM&gt;&lt;DESCRIPTION&gt;Условия для опции подписи "PMPLAN05"&lt;/DESCRIPTION&gt;&lt;EXPRESSION&gt;&lt;![CDATA[(select namerab1 from masterpm where masterpmnum=:masterpm)='090000070808']]&gt;&lt;/EXPRESSION&gt;&lt;TYPE&gt;ВЫРАЖЕНИЕ&lt;/TYPE&gt;&lt;/CONDITION&gt;</v>
      </c>
    </row>
    <row r="7" spans="1:16">
      <c r="A7" s="22" t="s">
        <v>151</v>
      </c>
      <c r="B7" s="22" t="s">
        <v>152</v>
      </c>
      <c r="C7" s="23" t="s">
        <v>153</v>
      </c>
      <c r="D7" s="6" t="s">
        <v>340</v>
      </c>
      <c r="E7" s="65" t="s">
        <v>424</v>
      </c>
      <c r="F7" s="71">
        <v>10001000006</v>
      </c>
      <c r="G7" s="6" t="str">
        <f t="shared" si="0"/>
        <v>gppr_p_70811</v>
      </c>
      <c r="I7" t="str">
        <f t="shared" si="1"/>
        <v>&lt;CLASSSTRUCTURE&gt;&lt;CLASSIFICATIONID&gt;gppr_p_70811&lt;/CLASSIFICATIONID&gt;&lt;CLASSSTRUCTUREID&gt;090000070811&lt;/CLASSSTRUCTUREID&gt;&lt;DESCRIPTION&gt;Адресный план усиления кривых малого радиуса&lt;/DESCRIPTION&gt;&lt;PARENT&gt;010001000006&lt;/PARENT&gt;&lt;/CLASSSTRUCTURE&gt;</v>
      </c>
      <c r="J7" s="36" t="s">
        <v>578</v>
      </c>
      <c r="K7" s="1" t="str">
        <f t="shared" si="2"/>
        <v>(select namerab1 from masterpm where masterpmnum=:masterpm)='090000070811'</v>
      </c>
      <c r="L7" s="36" t="s">
        <v>578</v>
      </c>
      <c r="M7" t="str">
        <f t="shared" si="3"/>
        <v xml:space="preserve"> &lt;APPLICATIONAUTH&gt;&lt;APP&gt;MASTERPM&lt;/APP&gt;&lt;CONDITIONNUM&gt;PMPLAN06&lt;/CONDITIONNUM&gt;&lt;GROUPNAME&gt;SL_P&lt;/GROUPNAME&gt;&lt;OPTIONNAME&gt;PMPLAN06&lt;/OPTIONNAME&gt;&lt;/APPLICATIONAUTH&gt;</v>
      </c>
      <c r="N7" s="61" t="s">
        <v>578</v>
      </c>
      <c r="P7" s="1" t="str">
        <f t="shared" si="4"/>
        <v>&lt;CONDITION&gt;&lt;CLASSNAME/&gt;&lt;CONDITIONNUM&gt;PMPLAN06&lt;/CONDITIONNUM&gt;&lt;DESCRIPTION&gt;Условия для опции подписи "PMPLAN06"&lt;/DESCRIPTION&gt;&lt;EXPRESSION&gt;&lt;![CDATA[(select namerab1 from masterpm where masterpmnum=:masterpm)='090000070811']]&gt;&lt;/EXPRESSION&gt;&lt;TYPE&gt;ВЫРАЖЕНИЕ&lt;/TYPE&gt;&lt;/CONDITION&gt;</v>
      </c>
    </row>
    <row r="8" spans="1:16">
      <c r="A8" s="22" t="s">
        <v>176</v>
      </c>
      <c r="B8" s="22" t="s">
        <v>176</v>
      </c>
      <c r="C8" s="23" t="s">
        <v>177</v>
      </c>
      <c r="D8" s="6" t="s">
        <v>341</v>
      </c>
      <c r="E8" s="65" t="s">
        <v>425</v>
      </c>
      <c r="F8" s="71">
        <v>10001000006</v>
      </c>
      <c r="G8" s="6" t="str">
        <f t="shared" si="0"/>
        <v>gppr_p_70815</v>
      </c>
      <c r="I8" t="str">
        <f t="shared" si="1"/>
        <v>&lt;CLASSSTRUCTURE&gt;&lt;CLASSIFICATIONID&gt;gppr_p_70815&lt;/CLASSIFICATIONID&gt;&lt;CLASSSTRUCTUREID&gt;090000070815&lt;/CLASSSTRUCTUREID&gt;&lt;DESCRIPTION&gt;Адресный план шлифовки стрелочных переводов&lt;/DESCRIPTION&gt;&lt;PARENT&gt;010001000006&lt;/PARENT&gt;&lt;/CLASSSTRUCTURE&gt;</v>
      </c>
      <c r="J8" s="36" t="s">
        <v>578</v>
      </c>
      <c r="K8" s="1" t="str">
        <f t="shared" si="2"/>
        <v>(select namerab1 from masterpm where masterpmnum=:masterpm)='090000070815'</v>
      </c>
      <c r="L8" s="36" t="s">
        <v>578</v>
      </c>
      <c r="M8" t="str">
        <f t="shared" si="3"/>
        <v xml:space="preserve"> &lt;APPLICATIONAUTH&gt;&lt;APP&gt;MASTERPM&lt;/APP&gt;&lt;CONDITIONNUM&gt;PMPLAN07&lt;/CONDITIONNUM&gt;&lt;GROUPNAME&gt;SL_P&lt;/GROUPNAME&gt;&lt;OPTIONNAME&gt;PMPLAN07&lt;/OPTIONNAME&gt;&lt;/APPLICATIONAUTH&gt;</v>
      </c>
      <c r="N8" s="61" t="s">
        <v>578</v>
      </c>
      <c r="P8" s="1" t="str">
        <f t="shared" si="4"/>
        <v>&lt;CONDITION&gt;&lt;CLASSNAME/&gt;&lt;CONDITIONNUM&gt;PMPLAN07&lt;/CONDITIONNUM&gt;&lt;DESCRIPTION&gt;Условия для опции подписи "PMPLAN07"&lt;/DESCRIPTION&gt;&lt;EXPRESSION&gt;&lt;![CDATA[(select namerab1 from masterpm where masterpmnum=:masterpm)='090000070815']]&gt;&lt;/EXPRESSION&gt;&lt;TYPE&gt;ВЫРАЖЕНИЕ&lt;/TYPE&gt;&lt;/CONDITION&gt;</v>
      </c>
    </row>
    <row r="9" spans="1:16">
      <c r="A9" s="22" t="s">
        <v>178</v>
      </c>
      <c r="B9" s="22" t="s">
        <v>178</v>
      </c>
      <c r="C9" s="23" t="s">
        <v>179</v>
      </c>
      <c r="D9" s="6" t="s">
        <v>342</v>
      </c>
      <c r="E9" s="65" t="s">
        <v>426</v>
      </c>
      <c r="F9" s="71">
        <v>10001000006</v>
      </c>
      <c r="G9" s="6" t="str">
        <f t="shared" si="0"/>
        <v>gppr_p_70813</v>
      </c>
      <c r="I9" t="str">
        <f t="shared" si="1"/>
        <v>&lt;CLASSSTRUCTURE&gt;&lt;CLASSIFICATIONID&gt;gppr_p_70813&lt;/CLASSIFICATIONID&gt;&lt;CLASSSTRUCTUREID&gt;090000070813&lt;/CLASSSTRUCTUREID&gt;&lt;DESCRIPTION&gt;Адресный план шлифовки рельсов&lt;/DESCRIPTION&gt;&lt;PARENT&gt;010001000006&lt;/PARENT&gt;&lt;/CLASSSTRUCTURE&gt;</v>
      </c>
      <c r="J9" s="36" t="s">
        <v>578</v>
      </c>
      <c r="K9" s="1" t="str">
        <f t="shared" si="2"/>
        <v>(select namerab1 from masterpm where masterpmnum=:masterpm)='090000070813'</v>
      </c>
      <c r="L9" s="36" t="s">
        <v>578</v>
      </c>
      <c r="M9" t="str">
        <f t="shared" si="3"/>
        <v xml:space="preserve"> &lt;APPLICATIONAUTH&gt;&lt;APP&gt;MASTERPM&lt;/APP&gt;&lt;CONDITIONNUM&gt;PMPLAN08&lt;/CONDITIONNUM&gt;&lt;GROUPNAME&gt;SL_P&lt;/GROUPNAME&gt;&lt;OPTIONNAME&gt;PMPLAN08&lt;/OPTIONNAME&gt;&lt;/APPLICATIONAUTH&gt;</v>
      </c>
      <c r="N9" s="61" t="s">
        <v>578</v>
      </c>
      <c r="P9" s="1" t="str">
        <f t="shared" si="4"/>
        <v>&lt;CONDITION&gt;&lt;CLASSNAME/&gt;&lt;CONDITIONNUM&gt;PMPLAN08&lt;/CONDITIONNUM&gt;&lt;DESCRIPTION&gt;Условия для опции подписи "PMPLAN08"&lt;/DESCRIPTION&gt;&lt;EXPRESSION&gt;&lt;![CDATA[(select namerab1 from masterpm where masterpmnum=:masterpm)='090000070813']]&gt;&lt;/EXPRESSION&gt;&lt;TYPE&gt;ВЫРАЖЕНИЕ&lt;/TYPE&gt;&lt;/CONDITION&gt;</v>
      </c>
    </row>
    <row r="10" spans="1:16" ht="30">
      <c r="A10" s="22" t="s">
        <v>180</v>
      </c>
      <c r="B10" s="22" t="s">
        <v>180</v>
      </c>
      <c r="C10" s="23" t="s">
        <v>181</v>
      </c>
      <c r="D10" s="6" t="s">
        <v>343</v>
      </c>
      <c r="E10" s="65" t="s">
        <v>427</v>
      </c>
      <c r="F10" s="71">
        <v>10001000006</v>
      </c>
      <c r="G10" s="6" t="str">
        <f t="shared" si="0"/>
        <v>gppr_p_70817</v>
      </c>
      <c r="I10" t="str">
        <f t="shared" si="1"/>
        <v>&lt;CLASSSTRUCTURE&gt;&lt;CLASSIFICATIONID&gt;gppr_p_70817&lt;/CLASSIFICATIONID&gt;&lt;CLASSSTRUCTUREID&gt;090000070817&lt;/CLASSSTRUCTUREID&gt;&lt;DESCRIPTION&gt;Адресный план закрепления рельсовых плетей бесстыкового пути машиной ПМГ&lt;/DESCRIPTION&gt;&lt;PARENT&gt;010001000006&lt;/PARENT&gt;&lt;/CLASSSTRUCTURE&gt;</v>
      </c>
      <c r="J10" s="36" t="s">
        <v>578</v>
      </c>
      <c r="K10" s="1" t="str">
        <f t="shared" si="2"/>
        <v>(select namerab1 from masterpm where masterpmnum=:masterpm)='090000070817'</v>
      </c>
      <c r="L10" s="36" t="s">
        <v>578</v>
      </c>
      <c r="M10" t="str">
        <f t="shared" si="3"/>
        <v xml:space="preserve"> &lt;APPLICATIONAUTH&gt;&lt;APP&gt;MASTERPM&lt;/APP&gt;&lt;CONDITIONNUM&gt;PMPLAN09&lt;/CONDITIONNUM&gt;&lt;GROUPNAME&gt;SL_P&lt;/GROUPNAME&gt;&lt;OPTIONNAME&gt;PMPLAN09&lt;/OPTIONNAME&gt;&lt;/APPLICATIONAUTH&gt;</v>
      </c>
      <c r="N10" s="61" t="s">
        <v>578</v>
      </c>
      <c r="P10" s="1" t="str">
        <f t="shared" si="4"/>
        <v>&lt;CONDITION&gt;&lt;CLASSNAME/&gt;&lt;CONDITIONNUM&gt;PMPLAN09&lt;/CONDITIONNUM&gt;&lt;DESCRIPTION&gt;Условия для опции подписи "PMPLAN09"&lt;/DESCRIPTION&gt;&lt;EXPRESSION&gt;&lt;![CDATA[(select namerab1 from masterpm where masterpmnum=:masterpm)='090000070817']]&gt;&lt;/EXPRESSION&gt;&lt;TYPE&gt;ВЫРАЖЕНИЕ&lt;/TYPE&gt;&lt;/CONDITION&gt;</v>
      </c>
    </row>
    <row r="11" spans="1:16" ht="30">
      <c r="A11" s="22" t="s">
        <v>182</v>
      </c>
      <c r="B11" s="22" t="s">
        <v>182</v>
      </c>
      <c r="C11" s="23" t="s">
        <v>183</v>
      </c>
      <c r="D11" s="6" t="s">
        <v>344</v>
      </c>
      <c r="E11" s="65" t="s">
        <v>428</v>
      </c>
      <c r="F11" s="71">
        <v>10001000006</v>
      </c>
      <c r="G11" s="6" t="str">
        <f t="shared" si="0"/>
        <v>gppr_p_74801</v>
      </c>
      <c r="I11" t="str">
        <f t="shared" si="1"/>
        <v>&lt;CLASSSTRUCTURE&gt;&lt;CLASSIFICATIONID&gt;gppr_p_74801&lt;/CLASSIFICATIONID&gt;&lt;CLASSSTRUCTUREID&gt;090000074801&lt;/CLASSSTRUCTUREID&gt;&lt;DESCRIPTION&gt;Адресный план выполнения закрепления рельсовых плетей бесстыкового пути моторными гайковертами (без ПМГ)&lt;/DESCRIPTION&gt;&lt;PARENT&gt;010001000006&lt;/PARENT&gt;&lt;/CLASSSTRUCTURE&gt;</v>
      </c>
      <c r="J11" s="36" t="s">
        <v>578</v>
      </c>
      <c r="K11" s="1" t="str">
        <f t="shared" si="2"/>
        <v>(select namerab1 from masterpm where masterpmnum=:masterpm)='090000074801'</v>
      </c>
      <c r="L11" s="36" t="s">
        <v>578</v>
      </c>
      <c r="M11" t="str">
        <f t="shared" si="3"/>
        <v xml:space="preserve"> &lt;APPLICATIONAUTH&gt;&lt;APP&gt;MASTERPM&lt;/APP&gt;&lt;CONDITIONNUM&gt;PMPLAN10&lt;/CONDITIONNUM&gt;&lt;GROUPNAME&gt;SL_P&lt;/GROUPNAME&gt;&lt;OPTIONNAME&gt;PMPLAN10&lt;/OPTIONNAME&gt;&lt;/APPLICATIONAUTH&gt;</v>
      </c>
      <c r="N11" s="61" t="s">
        <v>578</v>
      </c>
      <c r="P11" s="1" t="str">
        <f>"&lt;CONDITION&gt;&lt;CLASSNAME/&gt;&lt;CONDITIONNUM&gt;"&amp;D11&amp;"&lt;/CONDITIONNUM&gt;&lt;DESCRIPTION&gt;Условия для опции подписи """&amp;D11&amp;"""&lt;/DESCRIPTION&gt;&lt;EXPRESSION&gt;&lt;![CDATA["&amp;K11&amp;"]]&gt;&lt;/EXPRESSION&gt;&lt;TYPE&gt;ВЫРАЖЕНИЕ&lt;/TYPE&gt;&lt;/CONDITION&gt;"</f>
        <v>&lt;CONDITION&gt;&lt;CLASSNAME/&gt;&lt;CONDITIONNUM&gt;PMPLAN10&lt;/CONDITIONNUM&gt;&lt;DESCRIPTION&gt;Условия для опции подписи "PMPLAN10"&lt;/DESCRIPTION&gt;&lt;EXPRESSION&gt;&lt;![CDATA[(select namerab1 from masterpm where masterpmnum=:masterpm)='090000074801']]&gt;&lt;/EXPRESSION&gt;&lt;TYPE&gt;ВЫРАЖЕНИЕ&lt;/TYPE&gt;&lt;/CONDITION&gt;</v>
      </c>
    </row>
    <row r="12" spans="1:16">
      <c r="A12" s="22" t="s">
        <v>184</v>
      </c>
      <c r="B12" s="22" t="s">
        <v>184</v>
      </c>
      <c r="C12" s="23" t="s">
        <v>185</v>
      </c>
      <c r="D12" s="6" t="s">
        <v>345</v>
      </c>
      <c r="E12" s="65" t="s">
        <v>429</v>
      </c>
      <c r="F12" s="71">
        <v>10001000006</v>
      </c>
      <c r="G12" s="6" t="str">
        <f t="shared" si="0"/>
        <v>gppr_p_70819</v>
      </c>
      <c r="I12" t="str">
        <f t="shared" si="1"/>
        <v>&lt;CLASSSTRUCTURE&gt;&lt;CLASSIFICATIONID&gt;gppr_p_70819&lt;/CLASSIFICATIONID&gt;&lt;CLASSSTRUCTUREID&gt;090000070819&lt;/CLASSSTRUCTUREID&gt;&lt;DESCRIPTION&gt;Адресный план наплавки рельсовых концов&lt;/DESCRIPTION&gt;&lt;PARENT&gt;010001000006&lt;/PARENT&gt;&lt;/CLASSSTRUCTURE&gt;</v>
      </c>
      <c r="J12" s="36" t="s">
        <v>578</v>
      </c>
      <c r="K12" s="1" t="str">
        <f t="shared" si="2"/>
        <v>(select namerab1 from masterpm where masterpmnum=:masterpm)='090000070819'</v>
      </c>
      <c r="L12" s="36" t="s">
        <v>578</v>
      </c>
      <c r="M12" t="str">
        <f t="shared" si="3"/>
        <v xml:space="preserve"> &lt;APPLICATIONAUTH&gt;&lt;APP&gt;MASTERPM&lt;/APP&gt;&lt;CONDITIONNUM&gt;PMPLAN11&lt;/CONDITIONNUM&gt;&lt;GROUPNAME&gt;SL_P&lt;/GROUPNAME&gt;&lt;OPTIONNAME&gt;PMPLAN11&lt;/OPTIONNAME&gt;&lt;/APPLICATIONAUTH&gt;</v>
      </c>
      <c r="N12" s="61" t="s">
        <v>578</v>
      </c>
      <c r="P12" s="1" t="str">
        <f t="shared" si="4"/>
        <v>&lt;CONDITION&gt;&lt;CLASSNAME/&gt;&lt;CONDITIONNUM&gt;PMPLAN11&lt;/CONDITIONNUM&gt;&lt;DESCRIPTION&gt;Условия для опции подписи "PMPLAN11"&lt;/DESCRIPTION&gt;&lt;EXPRESSION&gt;&lt;![CDATA[(select namerab1 from masterpm where masterpmnum=:masterpm)='090000070819']]&gt;&lt;/EXPRESSION&gt;&lt;TYPE&gt;ВЫРАЖЕНИЕ&lt;/TYPE&gt;&lt;/CONDITION&gt;</v>
      </c>
    </row>
    <row r="13" spans="1:16">
      <c r="A13" s="22" t="s">
        <v>186</v>
      </c>
      <c r="B13" s="22" t="s">
        <v>186</v>
      </c>
      <c r="C13" s="23" t="s">
        <v>187</v>
      </c>
      <c r="D13" s="6" t="s">
        <v>346</v>
      </c>
      <c r="E13" s="65" t="s">
        <v>430</v>
      </c>
      <c r="F13" s="71">
        <v>10001000006</v>
      </c>
      <c r="G13" s="6" t="str">
        <f t="shared" si="0"/>
        <v>gppr_p_70823</v>
      </c>
      <c r="I13" t="str">
        <f t="shared" si="1"/>
        <v>&lt;CLASSSTRUCTURE&gt;&lt;CLASSIFICATIONID&gt;gppr_p_70823&lt;/CLASSIFICATIONID&gt;&lt;CLASSSTRUCTUREID&gt;090000070823&lt;/CLASSSTRUCTUREID&gt;&lt;DESCRIPTION&gt;Адресный план смены дефектных рельсов&lt;/DESCRIPTION&gt;&lt;PARENT&gt;010001000006&lt;/PARENT&gt;&lt;/CLASSSTRUCTURE&gt;</v>
      </c>
      <c r="J13" s="36" t="s">
        <v>578</v>
      </c>
      <c r="K13" s="1" t="str">
        <f t="shared" si="2"/>
        <v>(select namerab1 from masterpm where masterpmnum=:masterpm)='090000070823'</v>
      </c>
      <c r="L13" s="36" t="s">
        <v>578</v>
      </c>
      <c r="M13" t="str">
        <f t="shared" si="3"/>
        <v xml:space="preserve"> &lt;APPLICATIONAUTH&gt;&lt;APP&gt;MASTERPM&lt;/APP&gt;&lt;CONDITIONNUM&gt;PMPLAN12&lt;/CONDITIONNUM&gt;&lt;GROUPNAME&gt;SL_P&lt;/GROUPNAME&gt;&lt;OPTIONNAME&gt;PMPLAN12&lt;/OPTIONNAME&gt;&lt;/APPLICATIONAUTH&gt;</v>
      </c>
      <c r="N13" s="61" t="s">
        <v>578</v>
      </c>
      <c r="P13" s="1" t="str">
        <f t="shared" si="4"/>
        <v>&lt;CONDITION&gt;&lt;CLASSNAME/&gt;&lt;CONDITIONNUM&gt;PMPLAN12&lt;/CONDITIONNUM&gt;&lt;DESCRIPTION&gt;Условия для опции подписи "PMPLAN12"&lt;/DESCRIPTION&gt;&lt;EXPRESSION&gt;&lt;![CDATA[(select namerab1 from masterpm where masterpmnum=:masterpm)='090000070823']]&gt;&lt;/EXPRESSION&gt;&lt;TYPE&gt;ВЫРАЖЕНИЕ&lt;/TYPE&gt;&lt;/CONDITION&gt;</v>
      </c>
    </row>
    <row r="14" spans="1:16">
      <c r="A14" s="22" t="s">
        <v>188</v>
      </c>
      <c r="B14" s="22" t="s">
        <v>188</v>
      </c>
      <c r="C14" s="23" t="s">
        <v>189</v>
      </c>
      <c r="D14" s="6" t="s">
        <v>347</v>
      </c>
      <c r="E14" s="65" t="s">
        <v>431</v>
      </c>
      <c r="F14" s="71">
        <v>10001000006</v>
      </c>
      <c r="G14" s="6" t="str">
        <f t="shared" si="0"/>
        <v>gppr_p_70824</v>
      </c>
      <c r="I14" t="str">
        <f t="shared" si="1"/>
        <v>&lt;CLASSSTRUCTURE&gt;&lt;CLASSIFICATIONID&gt;gppr_p_70824&lt;/CLASSIFICATIONID&gt;&lt;CLASSSTRUCTUREID&gt;090000070824&lt;/CLASSSTRUCTUREID&gt;&lt;DESCRIPTION&gt;Адресный план смены рельсов в кривых&lt;/DESCRIPTION&gt;&lt;PARENT&gt;010001000006&lt;/PARENT&gt;&lt;/CLASSSTRUCTURE&gt;</v>
      </c>
      <c r="J14" s="36" t="s">
        <v>578</v>
      </c>
      <c r="K14" s="1" t="str">
        <f t="shared" si="2"/>
        <v>(select namerab1 from masterpm where masterpmnum=:masterpm)='090000070824'</v>
      </c>
      <c r="L14" s="36" t="s">
        <v>578</v>
      </c>
      <c r="M14" t="str">
        <f t="shared" si="3"/>
        <v xml:space="preserve"> &lt;APPLICATIONAUTH&gt;&lt;APP&gt;MASTERPM&lt;/APP&gt;&lt;CONDITIONNUM&gt;PMPLAN13&lt;/CONDITIONNUM&gt;&lt;GROUPNAME&gt;SL_P&lt;/GROUPNAME&gt;&lt;OPTIONNAME&gt;PMPLAN13&lt;/OPTIONNAME&gt;&lt;/APPLICATIONAUTH&gt;</v>
      </c>
      <c r="N14" s="61" t="s">
        <v>578</v>
      </c>
      <c r="P14" s="1" t="str">
        <f t="shared" si="4"/>
        <v>&lt;CONDITION&gt;&lt;CLASSNAME/&gt;&lt;CONDITIONNUM&gt;PMPLAN13&lt;/CONDITIONNUM&gt;&lt;DESCRIPTION&gt;Условия для опции подписи "PMPLAN13"&lt;/DESCRIPTION&gt;&lt;EXPRESSION&gt;&lt;![CDATA[(select namerab1 from masterpm where masterpmnum=:masterpm)='090000070824']]&gt;&lt;/EXPRESSION&gt;&lt;TYPE&gt;ВЫРАЖЕНИЕ&lt;/TYPE&gt;&lt;/CONDITION&gt;</v>
      </c>
    </row>
    <row r="15" spans="1:16">
      <c r="A15" s="22" t="s">
        <v>190</v>
      </c>
      <c r="B15" s="22" t="s">
        <v>190</v>
      </c>
      <c r="C15" s="23" t="s">
        <v>191</v>
      </c>
      <c r="D15" s="6" t="s">
        <v>348</v>
      </c>
      <c r="E15" s="65" t="s">
        <v>432</v>
      </c>
      <c r="F15" s="71">
        <v>10001000006</v>
      </c>
      <c r="G15" s="6" t="str">
        <f t="shared" si="0"/>
        <v>gppr_p_70826</v>
      </c>
      <c r="I15" t="str">
        <f t="shared" si="1"/>
        <v>&lt;CLASSSTRUCTURE&gt;&lt;CLASSIFICATIONID&gt;gppr_p_70826&lt;/CLASSIFICATIONID&gt;&lt;CLASSSTRUCTUREID&gt;090000070826&lt;/CLASSSTRUCTUREID&gt;&lt;DESCRIPTION&gt;Адресный план по наплавке и науглероживанию крестовин&lt;/DESCRIPTION&gt;&lt;PARENT&gt;010001000006&lt;/PARENT&gt;&lt;/CLASSSTRUCTURE&gt;</v>
      </c>
      <c r="J15" s="36" t="s">
        <v>578</v>
      </c>
      <c r="K15" s="1" t="str">
        <f t="shared" si="2"/>
        <v>(select namerab1 from masterpm where masterpmnum=:masterpm)='090000070826'</v>
      </c>
      <c r="L15" s="36" t="s">
        <v>578</v>
      </c>
      <c r="M15" t="str">
        <f t="shared" si="3"/>
        <v xml:space="preserve"> &lt;APPLICATIONAUTH&gt;&lt;APP&gt;MASTERPM&lt;/APP&gt;&lt;CONDITIONNUM&gt;PMPLAN14&lt;/CONDITIONNUM&gt;&lt;GROUPNAME&gt;SL_P&lt;/GROUPNAME&gt;&lt;OPTIONNAME&gt;PMPLAN14&lt;/OPTIONNAME&gt;&lt;/APPLICATIONAUTH&gt;</v>
      </c>
      <c r="N15" s="61" t="s">
        <v>578</v>
      </c>
      <c r="P15" s="1" t="str">
        <f t="shared" si="4"/>
        <v>&lt;CONDITION&gt;&lt;CLASSNAME/&gt;&lt;CONDITIONNUM&gt;PMPLAN14&lt;/CONDITIONNUM&gt;&lt;DESCRIPTION&gt;Условия для опции подписи "PMPLAN14"&lt;/DESCRIPTION&gt;&lt;EXPRESSION&gt;&lt;![CDATA[(select namerab1 from masterpm where masterpmnum=:masterpm)='090000070826']]&gt;&lt;/EXPRESSION&gt;&lt;TYPE&gt;ВЫРАЖЕНИЕ&lt;/TYPE&gt;&lt;/CONDITION&gt;</v>
      </c>
    </row>
    <row r="16" spans="1:16">
      <c r="A16" s="22" t="s">
        <v>192</v>
      </c>
      <c r="B16" s="22" t="s">
        <v>192</v>
      </c>
      <c r="C16" s="23" t="s">
        <v>193</v>
      </c>
      <c r="D16" s="6" t="s">
        <v>349</v>
      </c>
      <c r="E16" s="65" t="s">
        <v>433</v>
      </c>
      <c r="F16" s="71">
        <v>10001000006</v>
      </c>
      <c r="G16" s="6" t="str">
        <f t="shared" si="0"/>
        <v>gppr_p_70831</v>
      </c>
      <c r="I16" t="str">
        <f t="shared" si="1"/>
        <v>&lt;CLASSSTRUCTURE&gt;&lt;CLASSIFICATIONID&gt;gppr_p_70831&lt;/CLASSIFICATIONID&gt;&lt;CLASSSTRUCTUREID&gt;090000070831&lt;/CLASSSTRUCTUREID&gt;&lt;DESCRIPTION&gt;Адресный план по сварке рельсовых плетей машинами ПРСМ&lt;/DESCRIPTION&gt;&lt;PARENT&gt;010001000006&lt;/PARENT&gt;&lt;/CLASSSTRUCTURE&gt;</v>
      </c>
      <c r="J16" s="36" t="s">
        <v>578</v>
      </c>
      <c r="K16" s="1" t="str">
        <f t="shared" si="2"/>
        <v>(select namerab1 from masterpm where masterpmnum=:masterpm)='090000070831'</v>
      </c>
      <c r="L16" s="36" t="s">
        <v>578</v>
      </c>
      <c r="M16" t="str">
        <f t="shared" si="3"/>
        <v xml:space="preserve"> &lt;APPLICATIONAUTH&gt;&lt;APP&gt;MASTERPM&lt;/APP&gt;&lt;CONDITIONNUM&gt;PMPLAN15&lt;/CONDITIONNUM&gt;&lt;GROUPNAME&gt;SL_P&lt;/GROUPNAME&gt;&lt;OPTIONNAME&gt;PMPLAN15&lt;/OPTIONNAME&gt;&lt;/APPLICATIONAUTH&gt;</v>
      </c>
      <c r="N16" s="61" t="s">
        <v>578</v>
      </c>
      <c r="P16" s="1" t="str">
        <f t="shared" si="4"/>
        <v>&lt;CONDITION&gt;&lt;CLASSNAME/&gt;&lt;CONDITIONNUM&gt;PMPLAN15&lt;/CONDITIONNUM&gt;&lt;DESCRIPTION&gt;Условия для опции подписи "PMPLAN15"&lt;/DESCRIPTION&gt;&lt;EXPRESSION&gt;&lt;![CDATA[(select namerab1 from masterpm where masterpmnum=:masterpm)='090000070831']]&gt;&lt;/EXPRESSION&gt;&lt;TYPE&gt;ВЫРАЖЕНИЕ&lt;/TYPE&gt;&lt;/CONDITION&gt;</v>
      </c>
    </row>
    <row r="17" spans="1:16" ht="30">
      <c r="A17" s="22" t="s">
        <v>194</v>
      </c>
      <c r="B17" s="22" t="s">
        <v>194</v>
      </c>
      <c r="C17" s="23" t="s">
        <v>195</v>
      </c>
      <c r="D17" s="6" t="s">
        <v>350</v>
      </c>
      <c r="E17" s="65" t="s">
        <v>434</v>
      </c>
      <c r="F17" s="71">
        <v>10001000006</v>
      </c>
      <c r="G17" s="6" t="str">
        <f t="shared" si="0"/>
        <v>gppr_p_70832</v>
      </c>
      <c r="I17" t="str">
        <f t="shared" si="1"/>
        <v>&lt;CLASSSTRUCTURE&gt;&lt;CLASSIFICATIONID&gt;gppr_p_70832&lt;/CLASSIFICATIONID&gt;&lt;CLASSSTRUCTUREID&gt;090000070832&lt;/CLASSSTRUCTUREID&gt;&lt;DESCRIPTION&gt;Адресный план по сварке рельсовых плетей алюминотермитным способом&lt;/DESCRIPTION&gt;&lt;PARENT&gt;010001000006&lt;/PARENT&gt;&lt;/CLASSSTRUCTURE&gt;</v>
      </c>
      <c r="J17" s="36" t="s">
        <v>578</v>
      </c>
      <c r="K17" s="1" t="str">
        <f t="shared" si="2"/>
        <v>(select namerab1 from masterpm where masterpmnum=:masterpm)='090000070832'</v>
      </c>
      <c r="L17" s="36" t="s">
        <v>578</v>
      </c>
      <c r="M17" t="str">
        <f t="shared" si="3"/>
        <v xml:space="preserve"> &lt;APPLICATIONAUTH&gt;&lt;APP&gt;MASTERPM&lt;/APP&gt;&lt;CONDITIONNUM&gt;PMPLAN16&lt;/CONDITIONNUM&gt;&lt;GROUPNAME&gt;SL_P&lt;/GROUPNAME&gt;&lt;OPTIONNAME&gt;PMPLAN16&lt;/OPTIONNAME&gt;&lt;/APPLICATIONAUTH&gt;</v>
      </c>
      <c r="N17" s="61" t="s">
        <v>578</v>
      </c>
      <c r="P17" s="1" t="str">
        <f t="shared" si="4"/>
        <v>&lt;CONDITION&gt;&lt;CLASSNAME/&gt;&lt;CONDITIONNUM&gt;PMPLAN16&lt;/CONDITIONNUM&gt;&lt;DESCRIPTION&gt;Условия для опции подписи "PMPLAN16"&lt;/DESCRIPTION&gt;&lt;EXPRESSION&gt;&lt;![CDATA[(select namerab1 from masterpm where masterpmnum=:masterpm)='090000070832']]&gt;&lt;/EXPRESSION&gt;&lt;TYPE&gt;ВЫРАЖЕНИЕ&lt;/TYPE&gt;&lt;/CONDITION&gt;</v>
      </c>
    </row>
    <row r="18" spans="1:16">
      <c r="A18" s="22" t="s">
        <v>197</v>
      </c>
      <c r="B18" s="22" t="s">
        <v>197</v>
      </c>
      <c r="C18" s="23" t="s">
        <v>198</v>
      </c>
      <c r="D18" s="6" t="s">
        <v>351</v>
      </c>
      <c r="E18" s="65" t="s">
        <v>435</v>
      </c>
      <c r="F18" s="71">
        <v>10001000006</v>
      </c>
      <c r="G18" s="6" t="str">
        <f t="shared" si="0"/>
        <v>gppr_p_70833</v>
      </c>
      <c r="I18" t="str">
        <f t="shared" si="1"/>
        <v>&lt;CLASSSTRUCTURE&gt;&lt;CLASSIFICATIONID&gt;gppr_p_70833&lt;/CLASSIFICATIONID&gt;&lt;CLASSSTRUCTUREID&gt;090000070833&lt;/CLASSSTRUCTUREID&gt;&lt;DESCRIPTION&gt;Адресный план одиночной укладки новых деревянных шпал&lt;/DESCRIPTION&gt;&lt;PARENT&gt;010001000006&lt;/PARENT&gt;&lt;/CLASSSTRUCTURE&gt;</v>
      </c>
      <c r="J18" s="36" t="s">
        <v>578</v>
      </c>
      <c r="K18" s="1" t="str">
        <f t="shared" si="2"/>
        <v>(select namerab1 from masterpm where masterpmnum=:masterpm)='090000070833'</v>
      </c>
      <c r="L18" s="36" t="s">
        <v>578</v>
      </c>
      <c r="M18" t="str">
        <f t="shared" si="3"/>
        <v xml:space="preserve"> &lt;APPLICATIONAUTH&gt;&lt;APP&gt;MASTERPM&lt;/APP&gt;&lt;CONDITIONNUM&gt;PMPLAN17&lt;/CONDITIONNUM&gt;&lt;GROUPNAME&gt;SL_P&lt;/GROUPNAME&gt;&lt;OPTIONNAME&gt;PMPLAN17&lt;/OPTIONNAME&gt;&lt;/APPLICATIONAUTH&gt;</v>
      </c>
      <c r="N18" s="61" t="s">
        <v>578</v>
      </c>
      <c r="P18" s="1" t="str">
        <f t="shared" si="4"/>
        <v>&lt;CONDITION&gt;&lt;CLASSNAME/&gt;&lt;CONDITIONNUM&gt;PMPLAN17&lt;/CONDITIONNUM&gt;&lt;DESCRIPTION&gt;Условия для опции подписи "PMPLAN17"&lt;/DESCRIPTION&gt;&lt;EXPRESSION&gt;&lt;![CDATA[(select namerab1 from masterpm where masterpmnum=:masterpm)='090000070833']]&gt;&lt;/EXPRESSION&gt;&lt;TYPE&gt;ВЫРАЖЕНИЕ&lt;/TYPE&gt;&lt;/CONDITION&gt;</v>
      </c>
    </row>
    <row r="19" spans="1:16">
      <c r="A19" s="22" t="s">
        <v>199</v>
      </c>
      <c r="B19" s="22" t="s">
        <v>199</v>
      </c>
      <c r="C19" s="23" t="s">
        <v>200</v>
      </c>
      <c r="D19" s="6" t="s">
        <v>352</v>
      </c>
      <c r="E19" s="65" t="s">
        <v>436</v>
      </c>
      <c r="F19" s="71">
        <v>10001000006</v>
      </c>
      <c r="G19" s="6" t="str">
        <f t="shared" si="0"/>
        <v>gppr_p_70834</v>
      </c>
      <c r="I19" t="str">
        <f t="shared" si="1"/>
        <v>&lt;CLASSSTRUCTURE&gt;&lt;CLASSIFICATIONID&gt;gppr_p_70834&lt;/CLASSIFICATIONID&gt;&lt;CLASSSTRUCTUREID&gt;090000070834&lt;/CLASSSTRUCTUREID&gt;&lt;DESCRIPTION&gt;Адресный план одиночной укладки старогодных деревянных шпал&lt;/DESCRIPTION&gt;&lt;PARENT&gt;010001000006&lt;/PARENT&gt;&lt;/CLASSSTRUCTURE&gt;</v>
      </c>
      <c r="J19" s="36" t="s">
        <v>578</v>
      </c>
      <c r="K19" s="1" t="str">
        <f t="shared" si="2"/>
        <v>(select namerab1 from masterpm where masterpmnum=:masterpm)='090000070834'</v>
      </c>
      <c r="L19" s="36" t="s">
        <v>578</v>
      </c>
      <c r="M19" t="str">
        <f t="shared" si="3"/>
        <v xml:space="preserve"> &lt;APPLICATIONAUTH&gt;&lt;APP&gt;MASTERPM&lt;/APP&gt;&lt;CONDITIONNUM&gt;PMPLAN18&lt;/CONDITIONNUM&gt;&lt;GROUPNAME&gt;SL_P&lt;/GROUPNAME&gt;&lt;OPTIONNAME&gt;PMPLAN18&lt;/OPTIONNAME&gt;&lt;/APPLICATIONAUTH&gt;</v>
      </c>
      <c r="N19" s="61" t="s">
        <v>578</v>
      </c>
      <c r="P19" s="1" t="str">
        <f t="shared" si="4"/>
        <v>&lt;CONDITION&gt;&lt;CLASSNAME/&gt;&lt;CONDITIONNUM&gt;PMPLAN18&lt;/CONDITIONNUM&gt;&lt;DESCRIPTION&gt;Условия для опции подписи "PMPLAN18"&lt;/DESCRIPTION&gt;&lt;EXPRESSION&gt;&lt;![CDATA[(select namerab1 from masterpm where masterpmnum=:masterpm)='090000070834']]&gt;&lt;/EXPRESSION&gt;&lt;TYPE&gt;ВЫРАЖЕНИЕ&lt;/TYPE&gt;&lt;/CONDITION&gt;</v>
      </c>
    </row>
    <row r="20" spans="1:16" ht="30">
      <c r="A20" s="22" t="s">
        <v>201</v>
      </c>
      <c r="B20" s="22" t="s">
        <v>201</v>
      </c>
      <c r="C20" s="23" t="s">
        <v>202</v>
      </c>
      <c r="D20" s="6" t="s">
        <v>353</v>
      </c>
      <c r="E20" s="65" t="s">
        <v>437</v>
      </c>
      <c r="F20" s="71">
        <v>10001000006</v>
      </c>
      <c r="G20" s="6" t="str">
        <f t="shared" si="0"/>
        <v>gppr_p_70835</v>
      </c>
      <c r="I20" t="str">
        <f t="shared" si="1"/>
        <v>&lt;CLASSSTRUCTURE&gt;&lt;CLASSIFICATIONID&gt;gppr_p_70835&lt;/CLASSIFICATIONID&gt;&lt;CLASSSTRUCTUREID&gt;090000070835&lt;/CLASSSTRUCTUREID&gt;&lt;DESCRIPTION&gt;Адресный план одиночной укладки старогодных железобетонных шпал&lt;/DESCRIPTION&gt;&lt;PARENT&gt;010001000006&lt;/PARENT&gt;&lt;/CLASSSTRUCTURE&gt;</v>
      </c>
      <c r="J20" s="36" t="s">
        <v>578</v>
      </c>
      <c r="K20" s="1" t="str">
        <f t="shared" si="2"/>
        <v>(select namerab1 from masterpm where masterpmnum=:masterpm)='090000070835'</v>
      </c>
      <c r="L20" s="36" t="s">
        <v>578</v>
      </c>
      <c r="M20" t="str">
        <f t="shared" si="3"/>
        <v xml:space="preserve"> &lt;APPLICATIONAUTH&gt;&lt;APP&gt;MASTERPM&lt;/APP&gt;&lt;CONDITIONNUM&gt;PMPLAN19&lt;/CONDITIONNUM&gt;&lt;GROUPNAME&gt;SL_P&lt;/GROUPNAME&gt;&lt;OPTIONNAME&gt;PMPLAN19&lt;/OPTIONNAME&gt;&lt;/APPLICATIONAUTH&gt;</v>
      </c>
      <c r="N20" s="61" t="s">
        <v>578</v>
      </c>
      <c r="P20" s="1" t="str">
        <f t="shared" si="4"/>
        <v>&lt;CONDITION&gt;&lt;CLASSNAME/&gt;&lt;CONDITIONNUM&gt;PMPLAN19&lt;/CONDITIONNUM&gt;&lt;DESCRIPTION&gt;Условия для опции подписи "PMPLAN19"&lt;/DESCRIPTION&gt;&lt;EXPRESSION&gt;&lt;![CDATA[(select namerab1 from masterpm where masterpmnum=:masterpm)='090000070835']]&gt;&lt;/EXPRESSION&gt;&lt;TYPE&gt;ВЫРАЖЕНИЕ&lt;/TYPE&gt;&lt;/CONDITION&gt;</v>
      </c>
    </row>
    <row r="21" spans="1:16">
      <c r="A21" s="22" t="s">
        <v>203</v>
      </c>
      <c r="B21" s="22" t="s">
        <v>203</v>
      </c>
      <c r="C21" s="23" t="s">
        <v>204</v>
      </c>
      <c r="D21" s="6" t="s">
        <v>354</v>
      </c>
      <c r="E21" s="65" t="s">
        <v>438</v>
      </c>
      <c r="F21" s="71">
        <v>10001000006</v>
      </c>
      <c r="G21" s="6" t="str">
        <f t="shared" si="0"/>
        <v>gppr_p_70837</v>
      </c>
      <c r="I21" t="str">
        <f t="shared" si="1"/>
        <v>&lt;CLASSSTRUCTURE&gt;&lt;CLASSIFICATIONID&gt;gppr_p_70837&lt;/CLASSIFICATIONID&gt;&lt;CLASSSTRUCTUREID&gt;090000070837&lt;/CLASSSTRUCTUREID&gt;&lt;DESCRIPTION&gt;Адресный план по установке путевых (стационарных) лубрикаторов&lt;/DESCRIPTION&gt;&lt;PARENT&gt;010001000006&lt;/PARENT&gt;&lt;/CLASSSTRUCTURE&gt;</v>
      </c>
      <c r="J21" s="36" t="s">
        <v>578</v>
      </c>
      <c r="K21" s="1" t="str">
        <f t="shared" si="2"/>
        <v>(select namerab1 from masterpm where masterpmnum=:masterpm)='090000070837'</v>
      </c>
      <c r="L21" s="36" t="s">
        <v>578</v>
      </c>
      <c r="M21" t="str">
        <f t="shared" si="3"/>
        <v xml:space="preserve"> &lt;APPLICATIONAUTH&gt;&lt;APP&gt;MASTERPM&lt;/APP&gt;&lt;CONDITIONNUM&gt;PMPLAN20&lt;/CONDITIONNUM&gt;&lt;GROUPNAME&gt;SL_P&lt;/GROUPNAME&gt;&lt;OPTIONNAME&gt;PMPLAN20&lt;/OPTIONNAME&gt;&lt;/APPLICATIONAUTH&gt;</v>
      </c>
      <c r="N21" s="61" t="s">
        <v>578</v>
      </c>
      <c r="P21" s="1" t="str">
        <f t="shared" si="4"/>
        <v>&lt;CONDITION&gt;&lt;CLASSNAME/&gt;&lt;CONDITIONNUM&gt;PMPLAN20&lt;/CONDITIONNUM&gt;&lt;DESCRIPTION&gt;Условия для опции подписи "PMPLAN20"&lt;/DESCRIPTION&gt;&lt;EXPRESSION&gt;&lt;![CDATA[(select namerab1 from masterpm where masterpmnum=:masterpm)='090000070837']]&gt;&lt;/EXPRESSION&gt;&lt;TYPE&gt;ВЫРАЖЕНИЕ&lt;/TYPE&gt;&lt;/CONDITION&gt;</v>
      </c>
    </row>
    <row r="22" spans="1:16" ht="30">
      <c r="A22" s="28" t="s">
        <v>205</v>
      </c>
      <c r="B22" s="28" t="s">
        <v>205</v>
      </c>
      <c r="C22" s="25" t="s">
        <v>206</v>
      </c>
      <c r="D22" s="29" t="s">
        <v>355</v>
      </c>
      <c r="E22" s="66" t="s">
        <v>446</v>
      </c>
      <c r="F22" s="71">
        <v>10001000006</v>
      </c>
      <c r="G22" s="6" t="str">
        <f t="shared" si="0"/>
        <v>gppr_p_70881</v>
      </c>
      <c r="I22" t="str">
        <f t="shared" si="1"/>
        <v>&lt;CLASSSTRUCTURE&gt;&lt;CLASSIFICATIONID&gt;gppr_p_70881&lt;/CLASSIFICATIONID&gt;&lt;CLASSSTRUCTUREID&gt;090000070881&lt;/CLASSSTRUCTUREID&gt;&lt;DESCRIPTION&gt;Адресный план выполнения работ по устранению локальных выплесков путевыми машинами (на текущем содержании)&lt;/DESCRIPTION&gt;&lt;PARENT&gt;010001000006&lt;/PARENT&gt;&lt;/CLASSSTRUCTURE&gt;</v>
      </c>
      <c r="J22" s="36" t="s">
        <v>578</v>
      </c>
      <c r="K22" s="1" t="str">
        <f t="shared" si="2"/>
        <v>(select namerab1 from masterpm where masterpmnum=:masterpm)='090000070881'</v>
      </c>
      <c r="L22" s="36" t="s">
        <v>578</v>
      </c>
      <c r="M22" t="str">
        <f t="shared" si="3"/>
        <v xml:space="preserve"> &lt;APPLICATIONAUTH&gt;&lt;APP&gt;MASTERPM&lt;/APP&gt;&lt;CONDITIONNUM&gt;PMPLAN21&lt;/CONDITIONNUM&gt;&lt;GROUPNAME&gt;SL_P&lt;/GROUPNAME&gt;&lt;OPTIONNAME&gt;PMPLAN21&lt;/OPTIONNAME&gt;&lt;/APPLICATIONAUTH&gt;</v>
      </c>
      <c r="N22" s="61" t="s">
        <v>578</v>
      </c>
      <c r="P22" s="1" t="str">
        <f t="shared" si="4"/>
        <v>&lt;CONDITION&gt;&lt;CLASSNAME/&gt;&lt;CONDITIONNUM&gt;PMPLAN21&lt;/CONDITIONNUM&gt;&lt;DESCRIPTION&gt;Условия для опции подписи "PMPLAN21"&lt;/DESCRIPTION&gt;&lt;EXPRESSION&gt;&lt;![CDATA[(select namerab1 from masterpm where masterpmnum=:masterpm)='090000070881']]&gt;&lt;/EXPRESSION&gt;&lt;TYPE&gt;ВЫРАЖЕНИЕ&lt;/TYPE&gt;&lt;/CONDITION&gt;</v>
      </c>
    </row>
    <row r="23" spans="1:16" ht="30">
      <c r="A23" s="22" t="s">
        <v>207</v>
      </c>
      <c r="B23" s="22" t="s">
        <v>207</v>
      </c>
      <c r="C23" s="23" t="s">
        <v>147</v>
      </c>
      <c r="D23" s="6" t="s">
        <v>356</v>
      </c>
      <c r="E23" s="65" t="s">
        <v>447</v>
      </c>
      <c r="F23" s="71">
        <v>10001000006</v>
      </c>
      <c r="G23" s="6" t="str">
        <f t="shared" si="0"/>
        <v>gppr_p_70872</v>
      </c>
      <c r="I23" t="str">
        <f t="shared" si="1"/>
        <v>&lt;CLASSSTRUCTURE&gt;&lt;CLASSIFICATIONID&gt;gppr_p_70872&lt;/CLASSIFICATIONID&gt;&lt;CLASSSTRUCTUREID&gt;090000070872&lt;/CLASSSTRUCTUREID&gt;&lt;DESCRIPTION&gt;Адресный план работ по обработке пути и полосы отвода от травянистой растительности и ДКР&lt;/DESCRIPTION&gt;&lt;PARENT&gt;010001000006&lt;/PARENT&gt;&lt;/CLASSSTRUCTURE&gt;</v>
      </c>
      <c r="J23" s="36" t="s">
        <v>578</v>
      </c>
      <c r="K23" s="1" t="str">
        <f t="shared" si="2"/>
        <v>(select namerab1 from masterpm where masterpmnum=:masterpm)='090000070872'</v>
      </c>
      <c r="L23" s="36" t="s">
        <v>578</v>
      </c>
      <c r="M23" t="str">
        <f t="shared" si="3"/>
        <v xml:space="preserve"> &lt;APPLICATIONAUTH&gt;&lt;APP&gt;MASTERPM&lt;/APP&gt;&lt;CONDITIONNUM&gt;PMPLAN22&lt;/CONDITIONNUM&gt;&lt;GROUPNAME&gt;SL_P&lt;/GROUPNAME&gt;&lt;OPTIONNAME&gt;PMPLAN22&lt;/OPTIONNAME&gt;&lt;/APPLICATIONAUTH&gt;</v>
      </c>
      <c r="N23" s="61" t="s">
        <v>578</v>
      </c>
      <c r="P23" s="1" t="str">
        <f t="shared" si="4"/>
        <v>&lt;CONDITION&gt;&lt;CLASSNAME/&gt;&lt;CONDITIONNUM&gt;PMPLAN22&lt;/CONDITIONNUM&gt;&lt;DESCRIPTION&gt;Условия для опции подписи "PMPLAN22"&lt;/DESCRIPTION&gt;&lt;EXPRESSION&gt;&lt;![CDATA[(select namerab1 from masterpm where masterpmnum=:masterpm)='090000070872']]&gt;&lt;/EXPRESSION&gt;&lt;TYPE&gt;ВЫРАЖЕНИЕ&lt;/TYPE&gt;&lt;/CONDITION&gt;</v>
      </c>
    </row>
    <row r="24" spans="1:16" ht="30">
      <c r="A24" s="22" t="s">
        <v>208</v>
      </c>
      <c r="B24" s="22" t="s">
        <v>208</v>
      </c>
      <c r="C24" s="23" t="s">
        <v>209</v>
      </c>
      <c r="D24" s="6" t="s">
        <v>357</v>
      </c>
      <c r="E24" s="65" t="s">
        <v>448</v>
      </c>
      <c r="F24" s="71">
        <v>10001000006</v>
      </c>
      <c r="G24" s="6" t="str">
        <f t="shared" si="0"/>
        <v>gppr_p_70883</v>
      </c>
      <c r="I24" t="str">
        <f t="shared" si="1"/>
        <v>&lt;CLASSSTRUCTURE&gt;&lt;CLASSIFICATIONID&gt;gppr_p_70883&lt;/CLASSIFICATIONID&gt;&lt;CLASSSTRUCTUREID&gt;090000070883&lt;/CLASSSTRUCTUREID&gt;&lt;DESCRIPTION&gt;Адресный план оздоровления пути на решающих станциях: капитальный ремонт пути с укладкой с/г ж/б решетки&lt;/DESCRIPTION&gt;&lt;PARENT&gt;010001000006&lt;/PARENT&gt;&lt;/CLASSSTRUCTURE&gt;</v>
      </c>
      <c r="J24" s="36" t="s">
        <v>578</v>
      </c>
      <c r="K24" s="1" t="str">
        <f t="shared" si="2"/>
        <v>(select namerab1 from masterpm where masterpmnum=:masterpm)='090000070883'</v>
      </c>
      <c r="L24" s="36" t="s">
        <v>578</v>
      </c>
      <c r="M24" t="str">
        <f t="shared" si="3"/>
        <v xml:space="preserve"> &lt;APPLICATIONAUTH&gt;&lt;APP&gt;MASTERPM&lt;/APP&gt;&lt;CONDITIONNUM&gt;PMPLAN23&lt;/CONDITIONNUM&gt;&lt;GROUPNAME&gt;SL_P&lt;/GROUPNAME&gt;&lt;OPTIONNAME&gt;PMPLAN23&lt;/OPTIONNAME&gt;&lt;/APPLICATIONAUTH&gt;</v>
      </c>
      <c r="N24" s="61" t="s">
        <v>578</v>
      </c>
      <c r="P24" s="1" t="str">
        <f t="shared" si="4"/>
        <v>&lt;CONDITION&gt;&lt;CLASSNAME/&gt;&lt;CONDITIONNUM&gt;PMPLAN23&lt;/CONDITIONNUM&gt;&lt;DESCRIPTION&gt;Условия для опции подписи "PMPLAN23"&lt;/DESCRIPTION&gt;&lt;EXPRESSION&gt;&lt;![CDATA[(select namerab1 from masterpm where masterpmnum=:masterpm)='090000070883']]&gt;&lt;/EXPRESSION&gt;&lt;TYPE&gt;ВЫРАЖЕНИЕ&lt;/TYPE&gt;&lt;/CONDITION&gt;</v>
      </c>
    </row>
    <row r="25" spans="1:16" ht="30">
      <c r="A25" s="22" t="s">
        <v>210</v>
      </c>
      <c r="B25" s="22" t="s">
        <v>210</v>
      </c>
      <c r="C25" s="23" t="s">
        <v>211</v>
      </c>
      <c r="D25" s="6" t="s">
        <v>358</v>
      </c>
      <c r="E25" s="65" t="s">
        <v>449</v>
      </c>
      <c r="F25" s="71">
        <v>10001000006</v>
      </c>
      <c r="G25" s="6" t="str">
        <f t="shared" si="0"/>
        <v>gppr_p_70884</v>
      </c>
      <c r="I25" t="str">
        <f t="shared" si="1"/>
        <v>&lt;CLASSSTRUCTURE&gt;&lt;CLASSIFICATIONID&gt;gppr_p_70884&lt;/CLASSIFICATIONID&gt;&lt;CLASSSTRUCTUREID&gt;090000070884&lt;/CLASSSTRUCTUREID&gt;&lt;DESCRIPTION&gt;Адресный план оздоровления пути на решающих станциях: средний ремонт пути&lt;/DESCRIPTION&gt;&lt;PARENT&gt;010001000006&lt;/PARENT&gt;&lt;/CLASSSTRUCTURE&gt;</v>
      </c>
      <c r="J25" s="36" t="s">
        <v>578</v>
      </c>
      <c r="K25" s="1" t="str">
        <f t="shared" si="2"/>
        <v>(select namerab1 from masterpm where masterpmnum=:masterpm)='090000070884'</v>
      </c>
      <c r="L25" s="36" t="s">
        <v>578</v>
      </c>
      <c r="M25" t="str">
        <f t="shared" si="3"/>
        <v xml:space="preserve"> &lt;APPLICATIONAUTH&gt;&lt;APP&gt;MASTERPM&lt;/APP&gt;&lt;CONDITIONNUM&gt;PMPLAN24&lt;/CONDITIONNUM&gt;&lt;GROUPNAME&gt;SL_P&lt;/GROUPNAME&gt;&lt;OPTIONNAME&gt;PMPLAN24&lt;/OPTIONNAME&gt;&lt;/APPLICATIONAUTH&gt;</v>
      </c>
      <c r="N25" s="61" t="s">
        <v>578</v>
      </c>
      <c r="P25" s="1" t="str">
        <f t="shared" si="4"/>
        <v>&lt;CONDITION&gt;&lt;CLASSNAME/&gt;&lt;CONDITIONNUM&gt;PMPLAN24&lt;/CONDITIONNUM&gt;&lt;DESCRIPTION&gt;Условия для опции подписи "PMPLAN24"&lt;/DESCRIPTION&gt;&lt;EXPRESSION&gt;&lt;![CDATA[(select namerab1 from masterpm where masterpmnum=:masterpm)='090000070884']]&gt;&lt;/EXPRESSION&gt;&lt;TYPE&gt;ВЫРАЖЕНИЕ&lt;/TYPE&gt;&lt;/CONDITION&gt;</v>
      </c>
    </row>
    <row r="26" spans="1:16" ht="30">
      <c r="A26" s="22" t="s">
        <v>212</v>
      </c>
      <c r="B26" s="22" t="s">
        <v>212</v>
      </c>
      <c r="C26" s="23" t="s">
        <v>213</v>
      </c>
      <c r="D26" s="6" t="s">
        <v>359</v>
      </c>
      <c r="E26" s="65" t="s">
        <v>450</v>
      </c>
      <c r="F26" s="71">
        <v>10001000006</v>
      </c>
      <c r="G26" s="6" t="str">
        <f t="shared" si="0"/>
        <v>gppr_p_70885</v>
      </c>
      <c r="I26" t="str">
        <f t="shared" si="1"/>
        <v>&lt;CLASSSTRUCTURE&gt;&lt;CLASSIFICATIONID&gt;gppr_p_70885&lt;/CLASSIFICATIONID&gt;&lt;CLASSSTRUCTUREID&gt;090000070885&lt;/CLASSSTRUCTUREID&gt;&lt;DESCRIPTION&gt;Адресный план оздоровления пути на решающих станциях: подъемочный ремонт пути&lt;/DESCRIPTION&gt;&lt;PARENT&gt;010001000006&lt;/PARENT&gt;&lt;/CLASSSTRUCTURE&gt;</v>
      </c>
      <c r="J26" s="36" t="s">
        <v>578</v>
      </c>
      <c r="K26" s="1" t="str">
        <f t="shared" si="2"/>
        <v>(select namerab1 from masterpm where masterpmnum=:masterpm)='090000070885'</v>
      </c>
      <c r="L26" s="36" t="s">
        <v>578</v>
      </c>
      <c r="M26" t="str">
        <f t="shared" si="3"/>
        <v xml:space="preserve"> &lt;APPLICATIONAUTH&gt;&lt;APP&gt;MASTERPM&lt;/APP&gt;&lt;CONDITIONNUM&gt;PMPLAN25&lt;/CONDITIONNUM&gt;&lt;GROUPNAME&gt;SL_P&lt;/GROUPNAME&gt;&lt;OPTIONNAME&gt;PMPLAN25&lt;/OPTIONNAME&gt;&lt;/APPLICATIONAUTH&gt;</v>
      </c>
      <c r="N26" s="61" t="s">
        <v>578</v>
      </c>
      <c r="P26" s="1" t="str">
        <f t="shared" si="4"/>
        <v>&lt;CONDITION&gt;&lt;CLASSNAME/&gt;&lt;CONDITIONNUM&gt;PMPLAN25&lt;/CONDITIONNUM&gt;&lt;DESCRIPTION&gt;Условия для опции подписи "PMPLAN25"&lt;/DESCRIPTION&gt;&lt;EXPRESSION&gt;&lt;![CDATA[(select namerab1 from masterpm where masterpmnum=:masterpm)='090000070885']]&gt;&lt;/EXPRESSION&gt;&lt;TYPE&gt;ВЫРАЖЕНИЕ&lt;/TYPE&gt;&lt;/CONDITION&gt;</v>
      </c>
    </row>
    <row r="27" spans="1:16" ht="30">
      <c r="A27" s="22" t="s">
        <v>214</v>
      </c>
      <c r="B27" s="22" t="s">
        <v>214</v>
      </c>
      <c r="C27" s="23" t="s">
        <v>215</v>
      </c>
      <c r="D27" s="6" t="s">
        <v>360</v>
      </c>
      <c r="E27" s="65" t="s">
        <v>451</v>
      </c>
      <c r="F27" s="71">
        <v>10001000006</v>
      </c>
      <c r="G27" s="6" t="str">
        <f t="shared" si="0"/>
        <v>gppr_p_70886</v>
      </c>
      <c r="I27" t="str">
        <f t="shared" si="1"/>
        <v>&lt;CLASSSTRUCTURE&gt;&lt;CLASSIFICATIONID&gt;gppr_p_70886&lt;/CLASSIFICATIONID&gt;&lt;CLASSSTRUCTUREID&gt;090000070886&lt;/CLASSSTRUCTUREID&gt;&lt;DESCRIPTION&gt;Адресный план оздоровления пути на решающих станциях: смена рельсов старогодными&lt;/DESCRIPTION&gt;&lt;PARENT&gt;010001000006&lt;/PARENT&gt;&lt;/CLASSSTRUCTURE&gt;</v>
      </c>
      <c r="J27" s="36" t="s">
        <v>578</v>
      </c>
      <c r="K27" s="1" t="str">
        <f t="shared" si="2"/>
        <v>(select namerab1 from masterpm where masterpmnum=:masterpm)='090000070886'</v>
      </c>
      <c r="L27" s="36" t="s">
        <v>578</v>
      </c>
      <c r="M27" t="str">
        <f t="shared" si="3"/>
        <v xml:space="preserve"> &lt;APPLICATIONAUTH&gt;&lt;APP&gt;MASTERPM&lt;/APP&gt;&lt;CONDITIONNUM&gt;PMPLAN26&lt;/CONDITIONNUM&gt;&lt;GROUPNAME&gt;SL_P&lt;/GROUPNAME&gt;&lt;OPTIONNAME&gt;PMPLAN26&lt;/OPTIONNAME&gt;&lt;/APPLICATIONAUTH&gt;</v>
      </c>
      <c r="N27" s="61" t="s">
        <v>578</v>
      </c>
      <c r="P27" s="1" t="str">
        <f t="shared" si="4"/>
        <v>&lt;CONDITION&gt;&lt;CLASSNAME/&gt;&lt;CONDITIONNUM&gt;PMPLAN26&lt;/CONDITIONNUM&gt;&lt;DESCRIPTION&gt;Условия для опции подписи "PMPLAN26"&lt;/DESCRIPTION&gt;&lt;EXPRESSION&gt;&lt;![CDATA[(select namerab1 from masterpm where masterpmnum=:masterpm)='090000070886']]&gt;&lt;/EXPRESSION&gt;&lt;TYPE&gt;ВЫРАЖЕНИЕ&lt;/TYPE&gt;&lt;/CONDITION&gt;</v>
      </c>
    </row>
    <row r="28" spans="1:16" ht="30">
      <c r="A28" s="22" t="s">
        <v>216</v>
      </c>
      <c r="B28" s="22" t="s">
        <v>216</v>
      </c>
      <c r="C28" s="23" t="s">
        <v>217</v>
      </c>
      <c r="D28" s="6" t="s">
        <v>361</v>
      </c>
      <c r="E28" s="65" t="s">
        <v>452</v>
      </c>
      <c r="F28" s="71">
        <v>10001000006</v>
      </c>
      <c r="G28" s="6" t="str">
        <f t="shared" si="0"/>
        <v>gppr_p_70887</v>
      </c>
      <c r="I28" t="str">
        <f t="shared" si="1"/>
        <v>&lt;CLASSSTRUCTURE&gt;&lt;CLASSIFICATIONID&gt;gppr_p_70887&lt;/CLASSIFICATIONID&gt;&lt;CLASSSTRUCTUREID&gt;090000070887&lt;/CLASSSTRUCTUREID&gt;&lt;DESCRIPTION&gt;Адресный план оздоровления пути на решающих станциях: смена стрелочных переводов&lt;/DESCRIPTION&gt;&lt;PARENT&gt;010001000006&lt;/PARENT&gt;&lt;/CLASSSTRUCTURE&gt;</v>
      </c>
      <c r="J28" s="36" t="s">
        <v>578</v>
      </c>
      <c r="K28" s="1" t="str">
        <f t="shared" si="2"/>
        <v>(select namerab1 from masterpm where masterpmnum=:masterpm)='090000070887'</v>
      </c>
      <c r="L28" s="36" t="s">
        <v>578</v>
      </c>
      <c r="M28" t="str">
        <f t="shared" si="3"/>
        <v xml:space="preserve"> &lt;APPLICATIONAUTH&gt;&lt;APP&gt;MASTERPM&lt;/APP&gt;&lt;CONDITIONNUM&gt;PMPLAN27&lt;/CONDITIONNUM&gt;&lt;GROUPNAME&gt;SL_P&lt;/GROUPNAME&gt;&lt;OPTIONNAME&gt;PMPLAN27&lt;/OPTIONNAME&gt;&lt;/APPLICATIONAUTH&gt;</v>
      </c>
      <c r="N28" s="61" t="s">
        <v>578</v>
      </c>
      <c r="P28" s="1" t="str">
        <f t="shared" si="4"/>
        <v>&lt;CONDITION&gt;&lt;CLASSNAME/&gt;&lt;CONDITIONNUM&gt;PMPLAN27&lt;/CONDITIONNUM&gt;&lt;DESCRIPTION&gt;Условия для опции подписи "PMPLAN27"&lt;/DESCRIPTION&gt;&lt;EXPRESSION&gt;&lt;![CDATA[(select namerab1 from masterpm where masterpmnum=:masterpm)='090000070887']]&gt;&lt;/EXPRESSION&gt;&lt;TYPE&gt;ВЫРАЖЕНИЕ&lt;/TYPE&gt;&lt;/CONDITION&gt;</v>
      </c>
    </row>
    <row r="29" spans="1:16" ht="30">
      <c r="A29" s="22" t="s">
        <v>218</v>
      </c>
      <c r="B29" s="22" t="s">
        <v>218</v>
      </c>
      <c r="C29" s="23" t="s">
        <v>219</v>
      </c>
      <c r="D29" s="6" t="s">
        <v>362</v>
      </c>
      <c r="E29" s="65" t="s">
        <v>453</v>
      </c>
      <c r="F29" s="71">
        <v>10001000006</v>
      </c>
      <c r="G29" s="6" t="str">
        <f t="shared" si="0"/>
        <v>gppr_p_70888</v>
      </c>
      <c r="I29" t="str">
        <f t="shared" si="1"/>
        <v>&lt;CLASSSTRUCTURE&gt;&lt;CLASSIFICATIONID&gt;gppr_p_70888&lt;/CLASSIFICATIONID&gt;&lt;CLASSSTRUCTUREID&gt;090000070888&lt;/CLASSSTRUCTUREID&gt;&lt;DESCRIPTION&gt;Адресный план оздоровления пути на решающих станциях: смена переводного бруса&lt;/DESCRIPTION&gt;&lt;PARENT&gt;010001000006&lt;/PARENT&gt;&lt;/CLASSSTRUCTURE&gt;</v>
      </c>
      <c r="J29" s="36" t="s">
        <v>578</v>
      </c>
      <c r="K29" s="1" t="str">
        <f t="shared" si="2"/>
        <v>(select namerab1 from masterpm where masterpmnum=:masterpm)='090000070888'</v>
      </c>
      <c r="L29" s="36" t="s">
        <v>578</v>
      </c>
      <c r="M29" t="str">
        <f t="shared" si="3"/>
        <v xml:space="preserve"> &lt;APPLICATIONAUTH&gt;&lt;APP&gt;MASTERPM&lt;/APP&gt;&lt;CONDITIONNUM&gt;PMPLAN28&lt;/CONDITIONNUM&gt;&lt;GROUPNAME&gt;SL_P&lt;/GROUPNAME&gt;&lt;OPTIONNAME&gt;PMPLAN28&lt;/OPTIONNAME&gt;&lt;/APPLICATIONAUTH&gt;</v>
      </c>
      <c r="N29" s="61" t="s">
        <v>578</v>
      </c>
      <c r="P29" s="1" t="str">
        <f t="shared" si="4"/>
        <v>&lt;CONDITION&gt;&lt;CLASSNAME/&gt;&lt;CONDITIONNUM&gt;PMPLAN28&lt;/CONDITIONNUM&gt;&lt;DESCRIPTION&gt;Условия для опции подписи "PMPLAN28"&lt;/DESCRIPTION&gt;&lt;EXPRESSION&gt;&lt;![CDATA[(select namerab1 from masterpm where masterpmnum=:masterpm)='090000070888']]&gt;&lt;/EXPRESSION&gt;&lt;TYPE&gt;ВЫРАЖЕНИЕ&lt;/TYPE&gt;&lt;/CONDITION&gt;</v>
      </c>
    </row>
    <row r="30" spans="1:16" ht="30">
      <c r="A30" s="22" t="s">
        <v>220</v>
      </c>
      <c r="B30" s="22" t="s">
        <v>220</v>
      </c>
      <c r="C30" s="23" t="s">
        <v>221</v>
      </c>
      <c r="D30" s="6" t="s">
        <v>363</v>
      </c>
      <c r="E30" s="65" t="s">
        <v>454</v>
      </c>
      <c r="F30" s="71">
        <v>10001000006</v>
      </c>
      <c r="G30" s="6" t="str">
        <f t="shared" si="0"/>
        <v>gppr_p_70889</v>
      </c>
      <c r="I30" t="str">
        <f t="shared" si="1"/>
        <v>&lt;CLASSSTRUCTURE&gt;&lt;CLASSIFICATIONID&gt;gppr_p_70889&lt;/CLASSIFICATIONID&gt;&lt;CLASSSTRUCTUREID&gt;090000070889&lt;/CLASSSTRUCTUREID&gt;&lt;DESCRIPTION&gt;Адресный план оздоровления пути на решающих станциях: приведение профилей горок к проектному положению&lt;/DESCRIPTION&gt;&lt;PARENT&gt;010001000006&lt;/PARENT&gt;&lt;/CLASSSTRUCTURE&gt;</v>
      </c>
      <c r="J30" s="36" t="s">
        <v>578</v>
      </c>
      <c r="K30" s="1" t="str">
        <f t="shared" si="2"/>
        <v>(select namerab1 from masterpm where masterpmnum=:masterpm)='090000070889'</v>
      </c>
      <c r="L30" s="36" t="s">
        <v>578</v>
      </c>
      <c r="M30" t="str">
        <f t="shared" si="3"/>
        <v xml:space="preserve"> &lt;APPLICATIONAUTH&gt;&lt;APP&gt;MASTERPM&lt;/APP&gt;&lt;CONDITIONNUM&gt;PMPLAN29&lt;/CONDITIONNUM&gt;&lt;GROUPNAME&gt;SL_P&lt;/GROUPNAME&gt;&lt;OPTIONNAME&gt;PMPLAN29&lt;/OPTIONNAME&gt;&lt;/APPLICATIONAUTH&gt;</v>
      </c>
      <c r="N30" s="61" t="s">
        <v>578</v>
      </c>
      <c r="P30" s="1" t="str">
        <f t="shared" si="4"/>
        <v>&lt;CONDITION&gt;&lt;CLASSNAME/&gt;&lt;CONDITIONNUM&gt;PMPLAN29&lt;/CONDITIONNUM&gt;&lt;DESCRIPTION&gt;Условия для опции подписи "PMPLAN29"&lt;/DESCRIPTION&gt;&lt;EXPRESSION&gt;&lt;![CDATA[(select namerab1 from masterpm where masterpmnum=:masterpm)='090000070889']]&gt;&lt;/EXPRESSION&gt;&lt;TYPE&gt;ВЫРАЖЕНИЕ&lt;/TYPE&gt;&lt;/CONDITION&gt;</v>
      </c>
    </row>
    <row r="31" spans="1:16" ht="30">
      <c r="A31" s="22" t="s">
        <v>222</v>
      </c>
      <c r="B31" s="22" t="s">
        <v>222</v>
      </c>
      <c r="C31" s="23" t="s">
        <v>223</v>
      </c>
      <c r="D31" s="6" t="s">
        <v>364</v>
      </c>
      <c r="E31" s="65" t="s">
        <v>455</v>
      </c>
      <c r="F31" s="71">
        <v>10001000006</v>
      </c>
      <c r="G31" s="6" t="str">
        <f t="shared" si="0"/>
        <v>gppr_p_70890</v>
      </c>
      <c r="I31" t="str">
        <f t="shared" si="1"/>
        <v>&lt;CLASSSTRUCTURE&gt;&lt;CLASSIFICATIONID&gt;gppr_p_70890&lt;/CLASSIFICATIONID&gt;&lt;CLASSSTRUCTUREID&gt;090000070890&lt;/CLASSSTRUCTUREID&gt;&lt;DESCRIPTION&gt;Адресный план оздоровления пути на решающих станциях: выправка профилей полугорок,вытяжных путей&lt;/DESCRIPTION&gt;&lt;PARENT&gt;010001000006&lt;/PARENT&gt;&lt;/CLASSSTRUCTURE&gt;</v>
      </c>
      <c r="J31" s="36" t="s">
        <v>578</v>
      </c>
      <c r="K31" s="1" t="str">
        <f t="shared" si="2"/>
        <v>(select namerab1 from masterpm where masterpmnum=:masterpm)='090000070890'</v>
      </c>
      <c r="L31" s="36" t="s">
        <v>578</v>
      </c>
      <c r="M31" t="str">
        <f t="shared" si="3"/>
        <v xml:space="preserve"> &lt;APPLICATIONAUTH&gt;&lt;APP&gt;MASTERPM&lt;/APP&gt;&lt;CONDITIONNUM&gt;PMPLAN30&lt;/CONDITIONNUM&gt;&lt;GROUPNAME&gt;SL_P&lt;/GROUPNAME&gt;&lt;OPTIONNAME&gt;PMPLAN30&lt;/OPTIONNAME&gt;&lt;/APPLICATIONAUTH&gt;</v>
      </c>
      <c r="N31" s="61" t="s">
        <v>578</v>
      </c>
      <c r="P31" s="1" t="str">
        <f t="shared" si="4"/>
        <v>&lt;CONDITION&gt;&lt;CLASSNAME/&gt;&lt;CONDITIONNUM&gt;PMPLAN30&lt;/CONDITIONNUM&gt;&lt;DESCRIPTION&gt;Условия для опции подписи "PMPLAN30"&lt;/DESCRIPTION&gt;&lt;EXPRESSION&gt;&lt;![CDATA[(select namerab1 from masterpm where masterpmnum=:masterpm)='090000070890']]&gt;&lt;/EXPRESSION&gt;&lt;TYPE&gt;ВЫРАЖЕНИЕ&lt;/TYPE&gt;&lt;/CONDITION&gt;</v>
      </c>
    </row>
    <row r="32" spans="1:16" ht="30">
      <c r="A32" s="22" t="s">
        <v>224</v>
      </c>
      <c r="B32" s="22" t="s">
        <v>224</v>
      </c>
      <c r="C32" s="23" t="s">
        <v>225</v>
      </c>
      <c r="D32" s="6" t="s">
        <v>365</v>
      </c>
      <c r="E32" s="65" t="s">
        <v>456</v>
      </c>
      <c r="F32" s="71">
        <v>10001000006</v>
      </c>
      <c r="G32" s="6" t="str">
        <f t="shared" si="0"/>
        <v>gppr_p_70891</v>
      </c>
      <c r="I32" t="str">
        <f t="shared" si="1"/>
        <v>&lt;CLASSSTRUCTURE&gt;&lt;CLASSIFICATIONID&gt;gppr_p_70891&lt;/CLASSIFICATIONID&gt;&lt;CLASSSTRUCTUREID&gt;090000070891&lt;/CLASSSTRUCTUREID&gt;&lt;DESCRIPTION&gt;Адресный план оздоровления пути на решающих станциях: ремонт водоотводов&lt;/DESCRIPTION&gt;&lt;PARENT&gt;010001000006&lt;/PARENT&gt;&lt;/CLASSSTRUCTURE&gt;</v>
      </c>
      <c r="J32" s="36" t="s">
        <v>578</v>
      </c>
      <c r="K32" s="1" t="str">
        <f t="shared" si="2"/>
        <v>(select namerab1 from masterpm where masterpmnum=:masterpm)='090000070891'</v>
      </c>
      <c r="L32" s="36" t="s">
        <v>578</v>
      </c>
      <c r="M32" t="str">
        <f t="shared" si="3"/>
        <v xml:space="preserve"> &lt;APPLICATIONAUTH&gt;&lt;APP&gt;MASTERPM&lt;/APP&gt;&lt;CONDITIONNUM&gt;PMPLAN31&lt;/CONDITIONNUM&gt;&lt;GROUPNAME&gt;SL_P&lt;/GROUPNAME&gt;&lt;OPTIONNAME&gt;PMPLAN31&lt;/OPTIONNAME&gt;&lt;/APPLICATIONAUTH&gt;</v>
      </c>
      <c r="N32" s="61" t="s">
        <v>578</v>
      </c>
      <c r="P32" s="1" t="str">
        <f t="shared" si="4"/>
        <v>&lt;CONDITION&gt;&lt;CLASSNAME/&gt;&lt;CONDITIONNUM&gt;PMPLAN31&lt;/CONDITIONNUM&gt;&lt;DESCRIPTION&gt;Условия для опции подписи "PMPLAN31"&lt;/DESCRIPTION&gt;&lt;EXPRESSION&gt;&lt;![CDATA[(select namerab1 from masterpm where masterpmnum=:masterpm)='090000070891']]&gt;&lt;/EXPRESSION&gt;&lt;TYPE&gt;ВЫРАЖЕНИЕ&lt;/TYPE&gt;&lt;/CONDITION&gt;</v>
      </c>
    </row>
    <row r="33" spans="1:16">
      <c r="A33" s="22" t="s">
        <v>226</v>
      </c>
      <c r="B33" s="22" t="s">
        <v>227</v>
      </c>
      <c r="C33" s="23" t="s">
        <v>228</v>
      </c>
      <c r="D33" s="6" t="s">
        <v>366</v>
      </c>
      <c r="E33" s="65" t="s">
        <v>457</v>
      </c>
      <c r="F33" s="71">
        <v>10001000006</v>
      </c>
      <c r="G33" s="6" t="str">
        <f t="shared" si="0"/>
        <v>gppr_p_74825</v>
      </c>
      <c r="I33" t="str">
        <f t="shared" si="1"/>
        <v>&lt;CLASSSTRUCTURE&gt;&lt;CLASSIFICATIONID&gt;gppr_p_74825&lt;/CLASSIFICATIONID&gt;&lt;CLASSSTRUCTUREID&gt;090000074825&lt;/CLASSSTRUCTUREID&gt;&lt;DESCRIPTION&gt;Адресный план противоаварийных работ. Замена переходных накладок рельсами&lt;/DESCRIPTION&gt;&lt;PARENT&gt;010001000006&lt;/PARENT&gt;&lt;/CLASSSTRUCTURE&gt;</v>
      </c>
      <c r="J33" s="36" t="s">
        <v>578</v>
      </c>
      <c r="K33" s="1" t="str">
        <f t="shared" si="2"/>
        <v>(select namerab1 from masterpm where masterpmnum=:masterpm)='090000074825'</v>
      </c>
      <c r="L33" s="36" t="s">
        <v>578</v>
      </c>
      <c r="M33" t="str">
        <f t="shared" si="3"/>
        <v xml:space="preserve"> &lt;APPLICATIONAUTH&gt;&lt;APP&gt;MASTERPM&lt;/APP&gt;&lt;CONDITIONNUM&gt;PMPLAN32&lt;/CONDITIONNUM&gt;&lt;GROUPNAME&gt;SL_P&lt;/GROUPNAME&gt;&lt;OPTIONNAME&gt;PMPLAN32&lt;/OPTIONNAME&gt;&lt;/APPLICATIONAUTH&gt;</v>
      </c>
      <c r="N33" s="61" t="s">
        <v>578</v>
      </c>
      <c r="P33" s="1" t="str">
        <f t="shared" si="4"/>
        <v>&lt;CONDITION&gt;&lt;CLASSNAME/&gt;&lt;CONDITIONNUM&gt;PMPLAN32&lt;/CONDITIONNUM&gt;&lt;DESCRIPTION&gt;Условия для опции подписи "PMPLAN32"&lt;/DESCRIPTION&gt;&lt;EXPRESSION&gt;&lt;![CDATA[(select namerab1 from masterpm where masterpmnum=:masterpm)='090000074825']]&gt;&lt;/EXPRESSION&gt;&lt;TYPE&gt;ВЫРАЖЕНИЕ&lt;/TYPE&gt;&lt;/CONDITION&gt;</v>
      </c>
    </row>
    <row r="34" spans="1:16" ht="30.75" thickBot="1">
      <c r="A34" s="49" t="s">
        <v>230</v>
      </c>
      <c r="B34" s="49" t="s">
        <v>229</v>
      </c>
      <c r="C34" s="50" t="s">
        <v>231</v>
      </c>
      <c r="D34" s="12" t="s">
        <v>367</v>
      </c>
      <c r="E34" s="67" t="s">
        <v>439</v>
      </c>
      <c r="F34" s="71">
        <v>10001000006</v>
      </c>
      <c r="G34" s="6" t="str">
        <f t="shared" ref="G34:G65" si="5">IF(E34&lt;&gt;0,"gppr_p_"&amp;RIGHT(E34,5),0)</f>
        <v>gppr_p_70848</v>
      </c>
      <c r="I34" t="str">
        <f t="shared" ref="I34:I64" si="6">"&lt;CLASSSTRUCTURE&gt;&lt;CLASSIFICATIONID&gt;"&amp;G34&amp;"&lt;/CLASSIFICATIONID&gt;&lt;CLASSSTRUCTUREID&gt;"&amp;E34&amp;"&lt;/CLASSSTRUCTUREID&gt;&lt;DESCRIPTION&gt;"&amp;B34&amp;"&lt;/DESCRIPTION&gt;&lt;PARENT&gt;0"&amp;F34&amp;"&lt;/PARENT&gt;&lt;/CLASSSTRUCTURE&gt;"</f>
        <v>&lt;CLASSSTRUCTURE&gt;&lt;CLASSIFICATIONID&gt;gppr_p_70848&lt;/CLASSIFICATIONID&gt;&lt;CLASSSTRUCTUREID&gt;090000070848&lt;/CLASSSTRUCTUREID&gt;&lt;DESCRIPTION&gt;Адресный план противоаварийных работ. Вынос стрелочных переводов из кривых&lt;/DESCRIPTION&gt;&lt;PARENT&gt;010001000006&lt;/PARENT&gt;&lt;/CLASSSTRUCTURE&gt;</v>
      </c>
      <c r="J34" s="36" t="s">
        <v>578</v>
      </c>
      <c r="K34" s="1" t="str">
        <f t="shared" ref="K34:K65" si="7">"(select namerab1 from masterpm where masterpmnum=:masterpm)='"&amp;E34&amp;"'"</f>
        <v>(select namerab1 from masterpm where masterpmnum=:masterpm)='090000070848'</v>
      </c>
      <c r="L34" s="36" t="s">
        <v>578</v>
      </c>
      <c r="M34" t="str">
        <f t="shared" si="3"/>
        <v xml:space="preserve"> &lt;APPLICATIONAUTH&gt;&lt;APP&gt;MASTERPM&lt;/APP&gt;&lt;CONDITIONNUM&gt;PMPLAN33&lt;/CONDITIONNUM&gt;&lt;GROUPNAME&gt;SL_P&lt;/GROUPNAME&gt;&lt;OPTIONNAME&gt;PMPLAN33&lt;/OPTIONNAME&gt;&lt;/APPLICATIONAUTH&gt;</v>
      </c>
      <c r="N34" s="61" t="s">
        <v>578</v>
      </c>
      <c r="P34" s="1" t="str">
        <f t="shared" ref="P34:P65" si="8">"&lt;CONDITION&gt;&lt;CLASSNAME/&gt;&lt;CONDITIONNUM&gt;"&amp;D34&amp;"&lt;/CONDITIONNUM&gt;&lt;DESCRIPTION&gt;Условия для опции подписи """&amp;D34&amp;"""&lt;/DESCRIPTION&gt;&lt;EXPRESSION&gt;&lt;![CDATA["&amp;K34&amp;"]]&gt;&lt;/EXPRESSION&gt;&lt;TYPE&gt;ВЫРАЖЕНИЕ&lt;/TYPE&gt;&lt;/CONDITION&gt;"</f>
        <v>&lt;CONDITION&gt;&lt;CLASSNAME/&gt;&lt;CONDITIONNUM&gt;PMPLAN33&lt;/CONDITIONNUM&gt;&lt;DESCRIPTION&gt;Условия для опции подписи "PMPLAN33"&lt;/DESCRIPTION&gt;&lt;EXPRESSION&gt;&lt;![CDATA[(select namerab1 from masterpm where masterpmnum=:masterpm)='090000070848']]&gt;&lt;/EXPRESSION&gt;&lt;TYPE&gt;ВЫРАЖЕНИЕ&lt;/TYPE&gt;&lt;/CONDITION&gt;</v>
      </c>
    </row>
    <row r="35" spans="1:16" ht="30">
      <c r="A35" s="53" t="s">
        <v>233</v>
      </c>
      <c r="B35" s="54" t="s">
        <v>232</v>
      </c>
      <c r="C35" s="55" t="s">
        <v>158</v>
      </c>
      <c r="D35" s="56" t="s">
        <v>368</v>
      </c>
      <c r="E35" s="68" t="s">
        <v>445</v>
      </c>
      <c r="F35" s="71">
        <v>10001000006</v>
      </c>
      <c r="G35" s="6" t="str">
        <f t="shared" si="5"/>
        <v>gppr_p_74834</v>
      </c>
      <c r="I35" t="str">
        <f>"&lt;CLASSSTRUCTURE&gt;&lt;CLASSIFICATIONID&gt;"&amp;G35&amp;"&lt;/CLASSIFICATIONID&gt;&lt;CLASSSTRUCTUREID&gt;"&amp;E35&amp;"&lt;/CLASSSTRUCTUREID&gt;&lt;DESCRIPTION&gt;"&amp;B35&amp;"&lt;/DESCRIPTION&gt;&lt;PARENT&gt;0"&amp;F35&amp;"&lt;/PARENT&gt;&lt;/CLASSSTRUCTURE&gt;"</f>
        <v>&lt;CLASSSTRUCTURE&gt;&lt;CLASSIFICATIONID&gt;gppr_p_74834&lt;/CLASSIFICATIONID&gt;&lt;CLASSSTRUCTUREID&gt;090000074834&lt;/CLASSSTRUCTUREID&gt;&lt;DESCRIPTION&gt;Адресный план противоаварийных работ. Капитальный ремонт УЗП (модернизация)&lt;/DESCRIPTION&gt;&lt;PARENT&gt;010001000006&lt;/PARENT&gt;&lt;/CLASSSTRUCTURE&gt;</v>
      </c>
      <c r="J35" s="36" t="s">
        <v>578</v>
      </c>
      <c r="K35" s="1" t="str">
        <f t="shared" si="7"/>
        <v>(select namerab1 from masterpm where masterpmnum=:masterpm)='090000074834'</v>
      </c>
      <c r="L35" s="36" t="s">
        <v>578</v>
      </c>
      <c r="M35" t="str">
        <f>" &lt;APPLICATIONAUTH&gt;&lt;APP&gt;MASTERPM&lt;/APP&gt;&lt;CONDITIONNUM&gt;"&amp;D35&amp;"&lt;/CONDITIONNUM&gt;&lt;GROUPNAME&gt;SL_P&lt;/GROUPNAME&gt;&lt;OPTIONNAME&gt;"&amp;D35&amp;"&lt;/OPTIONNAME&gt;&lt;/APPLICATIONAUTH&gt;"</f>
        <v xml:space="preserve"> &lt;APPLICATIONAUTH&gt;&lt;APP&gt;MASTERPM&lt;/APP&gt;&lt;CONDITIONNUM&gt;PMPLAN34&lt;/CONDITIONNUM&gt;&lt;GROUPNAME&gt;SL_P&lt;/GROUPNAME&gt;&lt;OPTIONNAME&gt;PMPLAN34&lt;/OPTIONNAME&gt;&lt;/APPLICATIONAUTH&gt;</v>
      </c>
      <c r="N35" s="61" t="s">
        <v>578</v>
      </c>
      <c r="P35" s="1" t="str">
        <f>"&lt;CONDITION&gt;&lt;CLASSNAME/&gt;&lt;CONDITIONNUM&gt;"&amp;D35&amp;"&lt;/CONDITIONNUM&gt;&lt;DESCRIPTION&gt;Условия для опции подписи """&amp;D35&amp;"""&lt;/DESCRIPTION&gt;&lt;EXPRESSION&gt;&lt;![CDATA["&amp;K35&amp;"]]&gt;&lt;/EXPRESSION&gt;&lt;TYPE&gt;ВЫРАЖЕНИЕ&lt;/TYPE&gt;&lt;/CONDITION&gt;"</f>
        <v>&lt;CONDITION&gt;&lt;CLASSNAME/&gt;&lt;CONDITIONNUM&gt;PMPLAN34&lt;/CONDITIONNUM&gt;&lt;DESCRIPTION&gt;Условия для опции подписи "PMPLAN34"&lt;/DESCRIPTION&gt;&lt;EXPRESSION&gt;&lt;![CDATA[(select namerab1 from masterpm where masterpmnum=:masterpm)='090000074834']]&gt;&lt;/EXPRESSION&gt;&lt;TYPE&gt;ВЫРАЖЕНИЕ&lt;/TYPE&gt;&lt;/CONDITION&gt;</v>
      </c>
    </row>
    <row r="36" spans="1:16" ht="30.75" thickBot="1">
      <c r="A36" s="57" t="s">
        <v>234</v>
      </c>
      <c r="B36" s="58" t="s">
        <v>235</v>
      </c>
      <c r="C36" s="59" t="s">
        <v>236</v>
      </c>
      <c r="D36" s="60" t="s">
        <v>369</v>
      </c>
      <c r="E36" s="69" t="s">
        <v>458</v>
      </c>
      <c r="F36" s="71">
        <v>10001000006</v>
      </c>
      <c r="G36" s="6" t="str">
        <f t="shared" si="5"/>
        <v>gppr_p_74833</v>
      </c>
      <c r="I36" t="str">
        <f t="shared" si="6"/>
        <v>&lt;CLASSSTRUCTURE&gt;&lt;CLASSIFICATIONID&gt;gppr_p_74833&lt;/CLASSIFICATIONID&gt;&lt;CLASSSTRUCTUREID&gt;090000074833&lt;/CLASSSTRUCTUREID&gt;&lt;DESCRIPTION&gt;Адресный план противоаварийных работ. Асфальтировка проезжей части, укладка настила&lt;/DESCRIPTION&gt;&lt;PARENT&gt;010001000006&lt;/PARENT&gt;&lt;/CLASSSTRUCTURE&gt;</v>
      </c>
      <c r="J36" s="36" t="s">
        <v>578</v>
      </c>
      <c r="K36" s="1" t="str">
        <f t="shared" si="7"/>
        <v>(select namerab1 from masterpm where masterpmnum=:masterpm)='090000074833'</v>
      </c>
      <c r="L36" s="36" t="s">
        <v>578</v>
      </c>
      <c r="M36" t="str">
        <f>" &lt;APPLICATIONAUTH&gt;&lt;APP&gt;MASTERPM&lt;/APP&gt;&lt;CONDITIONNUM&gt;"&amp;D36&amp;"&lt;/CONDITIONNUM&gt;&lt;GROUPNAME&gt;SL_P&lt;/GROUPNAME&gt;&lt;OPTIONNAME&gt;"&amp;D36&amp;"&lt;/OPTIONNAME&gt;&lt;/APPLICATIONAUTH&gt;"</f>
        <v xml:space="preserve"> &lt;APPLICATIONAUTH&gt;&lt;APP&gt;MASTERPM&lt;/APP&gt;&lt;CONDITIONNUM&gt;PMPLAN35&lt;/CONDITIONNUM&gt;&lt;GROUPNAME&gt;SL_P&lt;/GROUPNAME&gt;&lt;OPTIONNAME&gt;PMPLAN35&lt;/OPTIONNAME&gt;&lt;/APPLICATIONAUTH&gt;</v>
      </c>
      <c r="N36" s="61" t="s">
        <v>578</v>
      </c>
      <c r="P36" s="1" t="str">
        <f t="shared" si="8"/>
        <v>&lt;CONDITION&gt;&lt;CLASSNAME/&gt;&lt;CONDITIONNUM&gt;PMPLAN35&lt;/CONDITIONNUM&gt;&lt;DESCRIPTION&gt;Условия для опции подписи "PMPLAN35"&lt;/DESCRIPTION&gt;&lt;EXPRESSION&gt;&lt;![CDATA[(select namerab1 from masterpm where masterpmnum=:masterpm)='090000074833']]&gt;&lt;/EXPRESSION&gt;&lt;TYPE&gt;ВЫРАЖЕНИЕ&lt;/TYPE&gt;&lt;/CONDITION&gt;</v>
      </c>
    </row>
    <row r="37" spans="1:16">
      <c r="A37" s="51" t="s">
        <v>237</v>
      </c>
      <c r="B37" s="51" t="s">
        <v>237</v>
      </c>
      <c r="C37" s="52" t="s">
        <v>238</v>
      </c>
      <c r="D37" s="32" t="s">
        <v>370</v>
      </c>
      <c r="E37" s="70" t="s">
        <v>441</v>
      </c>
      <c r="F37" s="71">
        <v>10001000006</v>
      </c>
      <c r="G37" s="6" t="str">
        <f t="shared" si="5"/>
        <v>gppr_p_70850</v>
      </c>
      <c r="I37" t="str">
        <f t="shared" si="6"/>
        <v>&lt;CLASSSTRUCTURE&gt;&lt;CLASSIFICATIONID&gt;gppr_p_70850&lt;/CLASSIFICATIONID&gt;&lt;CLASSSTRUCTUREID&gt;090000070850&lt;/CLASSSTRUCTUREID&gt;&lt;DESCRIPTION&gt;Адресный план работ по переездам (капитальный ремонт)&lt;/DESCRIPTION&gt;&lt;PARENT&gt;010001000006&lt;/PARENT&gt;&lt;/CLASSSTRUCTURE&gt;</v>
      </c>
      <c r="J37" s="36" t="s">
        <v>578</v>
      </c>
      <c r="K37" s="1" t="str">
        <f t="shared" si="7"/>
        <v>(select namerab1 from masterpm where masterpmnum=:masterpm)='090000070850'</v>
      </c>
      <c r="L37" s="36" t="s">
        <v>578</v>
      </c>
      <c r="M37" t="str">
        <f t="shared" ref="M37:M77" si="9">" &lt;APPLICATIONAUTH&gt;&lt;APP&gt;MASTERPM&lt;/APP&gt;&lt;CONDITIONNUM&gt;"&amp;D37&amp;"&lt;/CONDITIONNUM&gt;&lt;GROUPNAME&gt;SL_P&lt;/GROUPNAME&gt;&lt;OPTIONNAME&gt;"&amp;D37&amp;"&lt;/OPTIONNAME&gt;&lt;/APPLICATIONAUTH&gt;"</f>
        <v xml:space="preserve"> &lt;APPLICATIONAUTH&gt;&lt;APP&gt;MASTERPM&lt;/APP&gt;&lt;CONDITIONNUM&gt;PMPLAN36&lt;/CONDITIONNUM&gt;&lt;GROUPNAME&gt;SL_P&lt;/GROUPNAME&gt;&lt;OPTIONNAME&gt;PMPLAN36&lt;/OPTIONNAME&gt;&lt;/APPLICATIONAUTH&gt;</v>
      </c>
      <c r="N37" s="61" t="s">
        <v>578</v>
      </c>
      <c r="P37" s="1" t="str">
        <f t="shared" si="8"/>
        <v>&lt;CONDITION&gt;&lt;CLASSNAME/&gt;&lt;CONDITIONNUM&gt;PMPLAN36&lt;/CONDITIONNUM&gt;&lt;DESCRIPTION&gt;Условия для опции подписи "PMPLAN36"&lt;/DESCRIPTION&gt;&lt;EXPRESSION&gt;&lt;![CDATA[(select namerab1 from masterpm where masterpmnum=:masterpm)='090000070850']]&gt;&lt;/EXPRESSION&gt;&lt;TYPE&gt;ВЫРАЖЕНИЕ&lt;/TYPE&gt;&lt;/CONDITION&gt;</v>
      </c>
    </row>
    <row r="38" spans="1:16" ht="30">
      <c r="A38" s="22" t="s">
        <v>239</v>
      </c>
      <c r="B38" s="22" t="s">
        <v>239</v>
      </c>
      <c r="C38" s="23" t="s">
        <v>240</v>
      </c>
      <c r="D38" s="6" t="s">
        <v>371</v>
      </c>
      <c r="E38" s="65" t="s">
        <v>440</v>
      </c>
      <c r="F38" s="71">
        <v>10001000006</v>
      </c>
      <c r="G38" s="6" t="str">
        <f t="shared" si="5"/>
        <v>gppr_p_70851</v>
      </c>
      <c r="I38" t="str">
        <f t="shared" si="6"/>
        <v>&lt;CLASSSTRUCTURE&gt;&lt;CLASSIFICATIONID&gt;gppr_p_70851&lt;/CLASSIFICATIONID&gt;&lt;CLASSSTRUCTUREID&gt;090000070851&lt;/CLASSSTRUCTUREID&gt;&lt;DESCRIPTION&gt;Адресный план работ по переездам (оборудование переездов устройсвами АПС)&lt;/DESCRIPTION&gt;&lt;PARENT&gt;010001000006&lt;/PARENT&gt;&lt;/CLASSSTRUCTURE&gt;</v>
      </c>
      <c r="J38" s="36" t="s">
        <v>578</v>
      </c>
      <c r="K38" s="1" t="str">
        <f t="shared" si="7"/>
        <v>(select namerab1 from masterpm where masterpmnum=:masterpm)='090000070851'</v>
      </c>
      <c r="L38" s="36" t="s">
        <v>578</v>
      </c>
      <c r="M38" t="str">
        <f t="shared" si="9"/>
        <v xml:space="preserve"> &lt;APPLICATIONAUTH&gt;&lt;APP&gt;MASTERPM&lt;/APP&gt;&lt;CONDITIONNUM&gt;PMPLAN37&lt;/CONDITIONNUM&gt;&lt;GROUPNAME&gt;SL_P&lt;/GROUPNAME&gt;&lt;OPTIONNAME&gt;PMPLAN37&lt;/OPTIONNAME&gt;&lt;/APPLICATIONAUTH&gt;</v>
      </c>
      <c r="N38" s="61" t="s">
        <v>578</v>
      </c>
      <c r="P38" s="1" t="str">
        <f t="shared" si="8"/>
        <v>&lt;CONDITION&gt;&lt;CLASSNAME/&gt;&lt;CONDITIONNUM&gt;PMPLAN37&lt;/CONDITIONNUM&gt;&lt;DESCRIPTION&gt;Условия для опции подписи "PMPLAN37"&lt;/DESCRIPTION&gt;&lt;EXPRESSION&gt;&lt;![CDATA[(select namerab1 from masterpm where masterpmnum=:masterpm)='090000070851']]&gt;&lt;/EXPRESSION&gt;&lt;TYPE&gt;ВЫРАЖЕНИЕ&lt;/TYPE&gt;&lt;/CONDITION&gt;</v>
      </c>
    </row>
    <row r="39" spans="1:16" ht="30">
      <c r="A39" s="22" t="s">
        <v>241</v>
      </c>
      <c r="B39" s="22" t="s">
        <v>241</v>
      </c>
      <c r="C39" s="23" t="s">
        <v>242</v>
      </c>
      <c r="D39" s="6" t="s">
        <v>372</v>
      </c>
      <c r="E39" s="65" t="s">
        <v>442</v>
      </c>
      <c r="F39" s="71">
        <v>10001000006</v>
      </c>
      <c r="G39" s="6" t="str">
        <f t="shared" si="5"/>
        <v>gppr_p_70852</v>
      </c>
      <c r="I39" t="str">
        <f t="shared" si="6"/>
        <v>&lt;CLASSSTRUCTURE&gt;&lt;CLASSIFICATIONID&gt;gppr_p_70852&lt;/CLASSIFICATIONID&gt;&lt;CLASSSTRUCTUREID&gt;090000070852&lt;/CLASSSTRUCTUREID&gt;&lt;DESCRIPTION&gt;Адресный план работ по переездам (укладка резинокордового настила)&lt;/DESCRIPTION&gt;&lt;PARENT&gt;010001000006&lt;/PARENT&gt;&lt;/CLASSSTRUCTURE&gt;</v>
      </c>
      <c r="J39" s="36" t="s">
        <v>578</v>
      </c>
      <c r="K39" s="1" t="str">
        <f t="shared" si="7"/>
        <v>(select namerab1 from masterpm where masterpmnum=:masterpm)='090000070852'</v>
      </c>
      <c r="L39" s="36" t="s">
        <v>578</v>
      </c>
      <c r="M39" t="str">
        <f t="shared" si="9"/>
        <v xml:space="preserve"> &lt;APPLICATIONAUTH&gt;&lt;APP&gt;MASTERPM&lt;/APP&gt;&lt;CONDITIONNUM&gt;PMPLAN38&lt;/CONDITIONNUM&gt;&lt;GROUPNAME&gt;SL_P&lt;/GROUPNAME&gt;&lt;OPTIONNAME&gt;PMPLAN38&lt;/OPTIONNAME&gt;&lt;/APPLICATIONAUTH&gt;</v>
      </c>
      <c r="N39" s="61" t="s">
        <v>578</v>
      </c>
      <c r="P39" s="1" t="str">
        <f t="shared" si="8"/>
        <v>&lt;CONDITION&gt;&lt;CLASSNAME/&gt;&lt;CONDITIONNUM&gt;PMPLAN38&lt;/CONDITIONNUM&gt;&lt;DESCRIPTION&gt;Условия для опции подписи "PMPLAN38"&lt;/DESCRIPTION&gt;&lt;EXPRESSION&gt;&lt;![CDATA[(select namerab1 from masterpm where masterpmnum=:masterpm)='090000070852']]&gt;&lt;/EXPRESSION&gt;&lt;TYPE&gt;ВЫРАЖЕНИЕ&lt;/TYPE&gt;&lt;/CONDITION&gt;</v>
      </c>
    </row>
    <row r="40" spans="1:16">
      <c r="A40" s="22" t="s">
        <v>243</v>
      </c>
      <c r="B40" s="22" t="s">
        <v>243</v>
      </c>
      <c r="C40" s="23" t="s">
        <v>244</v>
      </c>
      <c r="D40" s="6" t="s">
        <v>373</v>
      </c>
      <c r="E40" s="65" t="s">
        <v>443</v>
      </c>
      <c r="F40" s="71">
        <v>10001000006</v>
      </c>
      <c r="G40" s="6" t="str">
        <f t="shared" si="5"/>
        <v>gppr_p_70853</v>
      </c>
      <c r="I40" t="str">
        <f t="shared" si="6"/>
        <v>&lt;CLASSSTRUCTURE&gt;&lt;CLASSIFICATIONID&gt;gppr_p_70853&lt;/CLASSIFICATIONID&gt;&lt;CLASSSTRUCTUREID&gt;090000070853&lt;/CLASSSTRUCTUREID&gt;&lt;DESCRIPTION&gt;Адресный план работ по переездам ( модернизации АПС)&lt;/DESCRIPTION&gt;&lt;PARENT&gt;010001000006&lt;/PARENT&gt;&lt;/CLASSSTRUCTURE&gt;</v>
      </c>
      <c r="J40" s="36" t="s">
        <v>578</v>
      </c>
      <c r="K40" s="1" t="str">
        <f t="shared" si="7"/>
        <v>(select namerab1 from masterpm where masterpmnum=:masterpm)='090000070853'</v>
      </c>
      <c r="L40" s="36" t="s">
        <v>578</v>
      </c>
      <c r="M40" t="str">
        <f t="shared" si="9"/>
        <v xml:space="preserve"> &lt;APPLICATIONAUTH&gt;&lt;APP&gt;MASTERPM&lt;/APP&gt;&lt;CONDITIONNUM&gt;PMPLAN39&lt;/CONDITIONNUM&gt;&lt;GROUPNAME&gt;SL_P&lt;/GROUPNAME&gt;&lt;OPTIONNAME&gt;PMPLAN39&lt;/OPTIONNAME&gt;&lt;/APPLICATIONAUTH&gt;</v>
      </c>
      <c r="N40" s="61" t="s">
        <v>578</v>
      </c>
      <c r="P40" s="1" t="str">
        <f t="shared" si="8"/>
        <v>&lt;CONDITION&gt;&lt;CLASSNAME/&gt;&lt;CONDITIONNUM&gt;PMPLAN39&lt;/CONDITIONNUM&gt;&lt;DESCRIPTION&gt;Условия для опции подписи "PMPLAN39"&lt;/DESCRIPTION&gt;&lt;EXPRESSION&gt;&lt;![CDATA[(select namerab1 from masterpm where masterpmnum=:masterpm)='090000070853']]&gt;&lt;/EXPRESSION&gt;&lt;TYPE&gt;ВЫРАЖЕНИЕ&lt;/TYPE&gt;&lt;/CONDITION&gt;</v>
      </c>
    </row>
    <row r="41" spans="1:16">
      <c r="A41" s="22" t="s">
        <v>245</v>
      </c>
      <c r="B41" s="22" t="s">
        <v>245</v>
      </c>
      <c r="C41" s="23" t="s">
        <v>246</v>
      </c>
      <c r="D41" s="6" t="s">
        <v>374</v>
      </c>
      <c r="E41" s="65" t="s">
        <v>444</v>
      </c>
      <c r="F41" s="71">
        <v>10001000006</v>
      </c>
      <c r="G41" s="6" t="str">
        <f t="shared" si="5"/>
        <v>gppr_p_70854</v>
      </c>
      <c r="I41" t="str">
        <f t="shared" si="6"/>
        <v>&lt;CLASSSTRUCTURE&gt;&lt;CLASSIFICATIONID&gt;gppr_p_70854&lt;/CLASSIFICATIONID&gt;&lt;CLASSSTRUCTUREID&gt;090000070854&lt;/CLASSSTRUCTUREID&gt;&lt;DESCRIPTION&gt;Адресный план работ по переездам (закрытие переездов)&lt;/DESCRIPTION&gt;&lt;PARENT&gt;010001000006&lt;/PARENT&gt;&lt;/CLASSSTRUCTURE&gt;</v>
      </c>
      <c r="J41" s="36" t="s">
        <v>578</v>
      </c>
      <c r="K41" s="1" t="str">
        <f t="shared" si="7"/>
        <v>(select namerab1 from masterpm where masterpmnum=:masterpm)='090000070854'</v>
      </c>
      <c r="L41" s="36" t="s">
        <v>578</v>
      </c>
      <c r="M41" t="str">
        <f t="shared" si="9"/>
        <v xml:space="preserve"> &lt;APPLICATIONAUTH&gt;&lt;APP&gt;MASTERPM&lt;/APP&gt;&lt;CONDITIONNUM&gt;PMPLAN40&lt;/CONDITIONNUM&gt;&lt;GROUPNAME&gt;SL_P&lt;/GROUPNAME&gt;&lt;OPTIONNAME&gt;PMPLAN40&lt;/OPTIONNAME&gt;&lt;/APPLICATIONAUTH&gt;</v>
      </c>
      <c r="N41" s="61" t="s">
        <v>578</v>
      </c>
      <c r="P41" s="1" t="str">
        <f t="shared" si="8"/>
        <v>&lt;CONDITION&gt;&lt;CLASSNAME/&gt;&lt;CONDITIONNUM&gt;PMPLAN40&lt;/CONDITIONNUM&gt;&lt;DESCRIPTION&gt;Условия для опции подписи "PMPLAN40"&lt;/DESCRIPTION&gt;&lt;EXPRESSION&gt;&lt;![CDATA[(select namerab1 from masterpm where masterpmnum=:masterpm)='090000070854']]&gt;&lt;/EXPRESSION&gt;&lt;TYPE&gt;ВЫРАЖЕНИЕ&lt;/TYPE&gt;&lt;/CONDITION&gt;</v>
      </c>
    </row>
    <row r="42" spans="1:16" ht="30">
      <c r="A42" s="22" t="s">
        <v>155</v>
      </c>
      <c r="B42" s="22" t="s">
        <v>156</v>
      </c>
      <c r="C42" s="23" t="s">
        <v>157</v>
      </c>
      <c r="D42" s="6" t="s">
        <v>375</v>
      </c>
      <c r="E42" s="66" t="s">
        <v>492</v>
      </c>
      <c r="F42" s="71">
        <v>10001000006</v>
      </c>
      <c r="G42" s="6" t="str">
        <f t="shared" si="5"/>
        <v>gppr_p_70855</v>
      </c>
      <c r="I42" t="str">
        <f t="shared" si="6"/>
        <v>&lt;CLASSSTRUCTURE&gt;&lt;CLASSIFICATIONID&gt;gppr_p_70855&lt;/CLASSIFICATIONID&gt;&lt;CLASSSTRUCTUREID&gt;090000070855&lt;/CLASSSTRUCTUREID&gt;&lt;DESCRIPTION&gt;Адресный план работ по капитальному ремонту УЗП&lt;/DESCRIPTION&gt;&lt;PARENT&gt;010001000006&lt;/PARENT&gt;&lt;/CLASSSTRUCTURE&gt;</v>
      </c>
      <c r="J42" s="36" t="s">
        <v>578</v>
      </c>
      <c r="K42" s="1" t="str">
        <f t="shared" si="7"/>
        <v>(select namerab1 from masterpm where masterpmnum=:masterpm)='090000070855'</v>
      </c>
      <c r="L42" s="36" t="s">
        <v>578</v>
      </c>
      <c r="M42" t="str">
        <f t="shared" si="9"/>
        <v xml:space="preserve"> &lt;APPLICATIONAUTH&gt;&lt;APP&gt;MASTERPM&lt;/APP&gt;&lt;CONDITIONNUM&gt;PMPLAN41&lt;/CONDITIONNUM&gt;&lt;GROUPNAME&gt;SL_P&lt;/GROUPNAME&gt;&lt;OPTIONNAME&gt;PMPLAN41&lt;/OPTIONNAME&gt;&lt;/APPLICATIONAUTH&gt;</v>
      </c>
      <c r="N42" s="61" t="s">
        <v>578</v>
      </c>
      <c r="P42" s="1" t="str">
        <f t="shared" si="8"/>
        <v>&lt;CONDITION&gt;&lt;CLASSNAME/&gt;&lt;CONDITIONNUM&gt;PMPLAN41&lt;/CONDITIONNUM&gt;&lt;DESCRIPTION&gt;Условия для опции подписи "PMPLAN41"&lt;/DESCRIPTION&gt;&lt;EXPRESSION&gt;&lt;![CDATA[(select namerab1 from masterpm where masterpmnum=:masterpm)='090000070855']]&gt;&lt;/EXPRESSION&gt;&lt;TYPE&gt;ВЫРАЖЕНИЕ&lt;/TYPE&gt;&lt;/CONDITION&gt;</v>
      </c>
    </row>
    <row r="43" spans="1:16" ht="30">
      <c r="A43" s="22" t="s">
        <v>247</v>
      </c>
      <c r="B43" s="22" t="s">
        <v>247</v>
      </c>
      <c r="C43" s="23" t="s">
        <v>248</v>
      </c>
      <c r="D43" s="6" t="s">
        <v>376</v>
      </c>
      <c r="E43" s="65" t="s">
        <v>459</v>
      </c>
      <c r="F43" s="71">
        <v>10001000006</v>
      </c>
      <c r="G43" s="6" t="str">
        <f t="shared" si="5"/>
        <v>gppr_p_70856</v>
      </c>
      <c r="I43" t="str">
        <f t="shared" si="6"/>
        <v>&lt;CLASSSTRUCTURE&gt;&lt;CLASSIFICATIONID&gt;gppr_p_70856&lt;/CLASSIFICATIONID&gt;&lt;CLASSSTRUCTUREID&gt;090000070856&lt;/CLASSSTRUCTUREID&gt;&lt;DESCRIPTION&gt;Адресный план работ по переездам (оборудование переездов шлагбаумами ПАШ)&lt;/DESCRIPTION&gt;&lt;PARENT&gt;010001000006&lt;/PARENT&gt;&lt;/CLASSSTRUCTURE&gt;</v>
      </c>
      <c r="J43" s="36" t="s">
        <v>578</v>
      </c>
      <c r="K43" s="1" t="str">
        <f t="shared" si="7"/>
        <v>(select namerab1 from masterpm where masterpmnum=:masterpm)='090000070856'</v>
      </c>
      <c r="L43" s="36" t="s">
        <v>578</v>
      </c>
      <c r="M43" t="str">
        <f t="shared" si="9"/>
        <v xml:space="preserve"> &lt;APPLICATIONAUTH&gt;&lt;APP&gt;MASTERPM&lt;/APP&gt;&lt;CONDITIONNUM&gt;PMPLAN42&lt;/CONDITIONNUM&gt;&lt;GROUPNAME&gt;SL_P&lt;/GROUPNAME&gt;&lt;OPTIONNAME&gt;PMPLAN42&lt;/OPTIONNAME&gt;&lt;/APPLICATIONAUTH&gt;</v>
      </c>
      <c r="N43" s="61" t="s">
        <v>578</v>
      </c>
      <c r="P43" s="1" t="str">
        <f t="shared" si="8"/>
        <v>&lt;CONDITION&gt;&lt;CLASSNAME/&gt;&lt;CONDITIONNUM&gt;PMPLAN42&lt;/CONDITIONNUM&gt;&lt;DESCRIPTION&gt;Условия для опции подписи "PMPLAN42"&lt;/DESCRIPTION&gt;&lt;EXPRESSION&gt;&lt;![CDATA[(select namerab1 from masterpm where masterpmnum=:masterpm)='090000070856']]&gt;&lt;/EXPRESSION&gt;&lt;TYPE&gt;ВЫРАЖЕНИЕ&lt;/TYPE&gt;&lt;/CONDITION&gt;</v>
      </c>
    </row>
    <row r="44" spans="1:16" ht="30">
      <c r="A44" s="22" t="s">
        <v>249</v>
      </c>
      <c r="B44" s="22" t="s">
        <v>249</v>
      </c>
      <c r="C44" s="23" t="s">
        <v>250</v>
      </c>
      <c r="D44" s="6" t="s">
        <v>377</v>
      </c>
      <c r="E44" s="65" t="s">
        <v>460</v>
      </c>
      <c r="F44" s="71">
        <v>10001000006</v>
      </c>
      <c r="G44" s="6" t="str">
        <f t="shared" si="5"/>
        <v>gppr_p_70857</v>
      </c>
      <c r="I44" t="str">
        <f t="shared" si="6"/>
        <v>&lt;CLASSSTRUCTURE&gt;&lt;CLASSIFICATIONID&gt;gppr_p_70857&lt;/CLASSIFICATIONID&gt;&lt;CLASSSTRUCTUREID&gt;090000070857&lt;/CLASSSTRUCTUREID&gt;&lt;DESCRIPTION&gt;Адресный план работ по переездам (оборудование переездов телефонной связью с ГИБДД)&lt;/DESCRIPTION&gt;&lt;PARENT&gt;010001000006&lt;/PARENT&gt;&lt;/CLASSSTRUCTURE&gt;</v>
      </c>
      <c r="J44" s="36" t="s">
        <v>578</v>
      </c>
      <c r="K44" s="1" t="str">
        <f t="shared" si="7"/>
        <v>(select namerab1 from masterpm where masterpmnum=:masterpm)='090000070857'</v>
      </c>
      <c r="L44" s="36" t="s">
        <v>578</v>
      </c>
      <c r="M44" t="str">
        <f t="shared" si="9"/>
        <v xml:space="preserve"> &lt;APPLICATIONAUTH&gt;&lt;APP&gt;MASTERPM&lt;/APP&gt;&lt;CONDITIONNUM&gt;PMPLAN43&lt;/CONDITIONNUM&gt;&lt;GROUPNAME&gt;SL_P&lt;/GROUPNAME&gt;&lt;OPTIONNAME&gt;PMPLAN43&lt;/OPTIONNAME&gt;&lt;/APPLICATIONAUTH&gt;</v>
      </c>
      <c r="N44" s="61" t="s">
        <v>578</v>
      </c>
      <c r="P44" s="1" t="str">
        <f t="shared" si="8"/>
        <v>&lt;CONDITION&gt;&lt;CLASSNAME/&gt;&lt;CONDITIONNUM&gt;PMPLAN43&lt;/CONDITIONNUM&gt;&lt;DESCRIPTION&gt;Условия для опции подписи "PMPLAN43"&lt;/DESCRIPTION&gt;&lt;EXPRESSION&gt;&lt;![CDATA[(select namerab1 from masterpm where masterpmnum=:masterpm)='090000070857']]&gt;&lt;/EXPRESSION&gt;&lt;TYPE&gt;ВЫРАЖЕНИЕ&lt;/TYPE&gt;&lt;/CONDITION&gt;</v>
      </c>
    </row>
    <row r="45" spans="1:16">
      <c r="A45" s="22" t="s">
        <v>251</v>
      </c>
      <c r="B45" s="22" t="s">
        <v>251</v>
      </c>
      <c r="C45" s="23" t="s">
        <v>252</v>
      </c>
      <c r="D45" s="6" t="s">
        <v>378</v>
      </c>
      <c r="E45" s="65" t="s">
        <v>461</v>
      </c>
      <c r="F45" s="71">
        <v>10001000006</v>
      </c>
      <c r="G45" s="6" t="str">
        <f t="shared" si="5"/>
        <v>gppr_p_70858</v>
      </c>
      <c r="I45" t="str">
        <f t="shared" si="6"/>
        <v>&lt;CLASSSTRUCTURE&gt;&lt;CLASSIFICATIONID&gt;gppr_p_70858&lt;/CLASSIFICATIONID&gt;&lt;CLASSSTRUCTUREID&gt;090000070858&lt;/CLASSSTRUCTUREID&gt;&lt;DESCRIPTION&gt;Адресный план работ по переездам (строительства путепроводов)&lt;/DESCRIPTION&gt;&lt;PARENT&gt;010001000006&lt;/PARENT&gt;&lt;/CLASSSTRUCTURE&gt;</v>
      </c>
      <c r="J45" s="36" t="s">
        <v>578</v>
      </c>
      <c r="K45" s="1" t="str">
        <f t="shared" si="7"/>
        <v>(select namerab1 from masterpm where masterpmnum=:masterpm)='090000070858'</v>
      </c>
      <c r="L45" s="36" t="s">
        <v>578</v>
      </c>
      <c r="M45" t="str">
        <f t="shared" si="9"/>
        <v xml:space="preserve"> &lt;APPLICATIONAUTH&gt;&lt;APP&gt;MASTERPM&lt;/APP&gt;&lt;CONDITIONNUM&gt;PMPLAN44&lt;/CONDITIONNUM&gt;&lt;GROUPNAME&gt;SL_P&lt;/GROUPNAME&gt;&lt;OPTIONNAME&gt;PMPLAN44&lt;/OPTIONNAME&gt;&lt;/APPLICATIONAUTH&gt;</v>
      </c>
      <c r="N45" s="61" t="s">
        <v>578</v>
      </c>
      <c r="P45" s="1" t="str">
        <f t="shared" si="8"/>
        <v>&lt;CONDITION&gt;&lt;CLASSNAME/&gt;&lt;CONDITIONNUM&gt;PMPLAN44&lt;/CONDITIONNUM&gt;&lt;DESCRIPTION&gt;Условия для опции подписи "PMPLAN44"&lt;/DESCRIPTION&gt;&lt;EXPRESSION&gt;&lt;![CDATA[(select namerab1 from masterpm where masterpmnum=:masterpm)='090000070858']]&gt;&lt;/EXPRESSION&gt;&lt;TYPE&gt;ВЫРАЖЕНИЕ&lt;/TYPE&gt;&lt;/CONDITION&gt;</v>
      </c>
    </row>
    <row r="46" spans="1:16" ht="30">
      <c r="A46" s="22" t="s">
        <v>253</v>
      </c>
      <c r="B46" s="22" t="s">
        <v>253</v>
      </c>
      <c r="C46" s="23" t="s">
        <v>254</v>
      </c>
      <c r="D46" s="6" t="s">
        <v>379</v>
      </c>
      <c r="E46" s="65" t="s">
        <v>462</v>
      </c>
      <c r="F46" s="71">
        <v>10001000006</v>
      </c>
      <c r="G46" s="6" t="str">
        <f t="shared" si="5"/>
        <v>gppr_p_70859</v>
      </c>
      <c r="I46" t="str">
        <f t="shared" si="6"/>
        <v>&lt;CLASSSTRUCTURE&gt;&lt;CLASSIFICATIONID&gt;gppr_p_70859&lt;/CLASSIFICATIONID&gt;&lt;CLASSSTRUCTUREID&gt;090000070859&lt;/CLASSSTRUCTUREID&gt;&lt;DESCRIPTION&gt;Адресный план работ по переездам (оборудование переездов устройсвами УЗП)&lt;/DESCRIPTION&gt;&lt;PARENT&gt;010001000006&lt;/PARENT&gt;&lt;/CLASSSTRUCTURE&gt;</v>
      </c>
      <c r="J46" s="36" t="s">
        <v>578</v>
      </c>
      <c r="K46" s="1" t="str">
        <f t="shared" si="7"/>
        <v>(select namerab1 from masterpm where masterpmnum=:masterpm)='090000070859'</v>
      </c>
      <c r="L46" s="36" t="s">
        <v>578</v>
      </c>
      <c r="M46" t="str">
        <f t="shared" si="9"/>
        <v xml:space="preserve"> &lt;APPLICATIONAUTH&gt;&lt;APP&gt;MASTERPM&lt;/APP&gt;&lt;CONDITIONNUM&gt;PMPLAN45&lt;/CONDITIONNUM&gt;&lt;GROUPNAME&gt;SL_P&lt;/GROUPNAME&gt;&lt;OPTIONNAME&gt;PMPLAN45&lt;/OPTIONNAME&gt;&lt;/APPLICATIONAUTH&gt;</v>
      </c>
      <c r="N46" s="61" t="s">
        <v>578</v>
      </c>
      <c r="P46" s="1" t="str">
        <f t="shared" si="8"/>
        <v>&lt;CONDITION&gt;&lt;CLASSNAME/&gt;&lt;CONDITIONNUM&gt;PMPLAN45&lt;/CONDITIONNUM&gt;&lt;DESCRIPTION&gt;Условия для опции подписи "PMPLAN45"&lt;/DESCRIPTION&gt;&lt;EXPRESSION&gt;&lt;![CDATA[(select namerab1 from masterpm where masterpmnum=:masterpm)='090000070859']]&gt;&lt;/EXPRESSION&gt;&lt;TYPE&gt;ВЫРАЖЕНИЕ&lt;/TYPE&gt;&lt;/CONDITION&gt;</v>
      </c>
    </row>
    <row r="47" spans="1:16" ht="30">
      <c r="A47" s="22" t="s">
        <v>255</v>
      </c>
      <c r="B47" s="22" t="s">
        <v>255</v>
      </c>
      <c r="C47" s="23" t="s">
        <v>256</v>
      </c>
      <c r="D47" s="6" t="s">
        <v>380</v>
      </c>
      <c r="E47" s="65" t="s">
        <v>463</v>
      </c>
      <c r="F47" s="71">
        <v>10001000006</v>
      </c>
      <c r="G47" s="6" t="str">
        <f t="shared" si="5"/>
        <v>gppr_p_70860</v>
      </c>
      <c r="I47" t="str">
        <f t="shared" si="6"/>
        <v>&lt;CLASSSTRUCTURE&gt;&lt;CLASSIFICATIONID&gt;gppr_p_70860&lt;/CLASSIFICATIONID&gt;&lt;CLASSSTRUCTUREID&gt;090000070860&lt;/CLASSSTRUCTUREID&gt;&lt;DESCRIPTION&gt;Адресный план по переездам (улучшение электроснабжения переездов)&lt;/DESCRIPTION&gt;&lt;PARENT&gt;010001000006&lt;/PARENT&gt;&lt;/CLASSSTRUCTURE&gt;</v>
      </c>
      <c r="J47" s="36" t="s">
        <v>578</v>
      </c>
      <c r="K47" s="1" t="str">
        <f t="shared" si="7"/>
        <v>(select namerab1 from masterpm where masterpmnum=:masterpm)='090000070860'</v>
      </c>
      <c r="L47" s="36" t="s">
        <v>578</v>
      </c>
      <c r="M47" t="str">
        <f t="shared" si="9"/>
        <v xml:space="preserve"> &lt;APPLICATIONAUTH&gt;&lt;APP&gt;MASTERPM&lt;/APP&gt;&lt;CONDITIONNUM&gt;PMPLAN46&lt;/CONDITIONNUM&gt;&lt;GROUPNAME&gt;SL_P&lt;/GROUPNAME&gt;&lt;OPTIONNAME&gt;PMPLAN46&lt;/OPTIONNAME&gt;&lt;/APPLICATIONAUTH&gt;</v>
      </c>
      <c r="N47" s="61" t="s">
        <v>578</v>
      </c>
      <c r="P47" s="1" t="str">
        <f t="shared" si="8"/>
        <v>&lt;CONDITION&gt;&lt;CLASSNAME/&gt;&lt;CONDITIONNUM&gt;PMPLAN46&lt;/CONDITIONNUM&gt;&lt;DESCRIPTION&gt;Условия для опции подписи "PMPLAN46"&lt;/DESCRIPTION&gt;&lt;EXPRESSION&gt;&lt;![CDATA[(select namerab1 from masterpm where masterpmnum=:masterpm)='090000070860']]&gt;&lt;/EXPRESSION&gt;&lt;TYPE&gt;ВЫРАЖЕНИЕ&lt;/TYPE&gt;&lt;/CONDITION&gt;</v>
      </c>
    </row>
    <row r="48" spans="1:16" ht="30">
      <c r="A48" s="22" t="s">
        <v>257</v>
      </c>
      <c r="B48" s="22" t="s">
        <v>257</v>
      </c>
      <c r="C48" s="23" t="s">
        <v>258</v>
      </c>
      <c r="D48" s="6" t="s">
        <v>381</v>
      </c>
      <c r="E48" s="65" t="s">
        <v>464</v>
      </c>
      <c r="F48" s="71">
        <v>10001000006</v>
      </c>
      <c r="G48" s="6" t="str">
        <f t="shared" si="5"/>
        <v>gppr_p_70861</v>
      </c>
      <c r="I48" t="str">
        <f t="shared" si="6"/>
        <v>&lt;CLASSSTRUCTURE&gt;&lt;CLASSIFICATIONID&gt;gppr_p_70861&lt;/CLASSIFICATIONID&gt;&lt;CLASSSTRUCTUREID&gt;090000070861&lt;/CLASSSTRUCTUREID&gt;&lt;DESCRIPTION&gt;Адресный план работ по переездам (улучшение электроосвещения переездов)&lt;/DESCRIPTION&gt;&lt;PARENT&gt;010001000006&lt;/PARENT&gt;&lt;/CLASSSTRUCTURE&gt;</v>
      </c>
      <c r="J48" s="36" t="s">
        <v>578</v>
      </c>
      <c r="K48" s="1" t="str">
        <f t="shared" si="7"/>
        <v>(select namerab1 from masterpm where masterpmnum=:masterpm)='090000070861'</v>
      </c>
      <c r="L48" s="36" t="s">
        <v>578</v>
      </c>
      <c r="M48" t="str">
        <f t="shared" si="9"/>
        <v xml:space="preserve"> &lt;APPLICATIONAUTH&gt;&lt;APP&gt;MASTERPM&lt;/APP&gt;&lt;CONDITIONNUM&gt;PMPLAN47&lt;/CONDITIONNUM&gt;&lt;GROUPNAME&gt;SL_P&lt;/GROUPNAME&gt;&lt;OPTIONNAME&gt;PMPLAN47&lt;/OPTIONNAME&gt;&lt;/APPLICATIONAUTH&gt;</v>
      </c>
      <c r="N48" s="61" t="s">
        <v>578</v>
      </c>
      <c r="P48" s="1" t="str">
        <f t="shared" si="8"/>
        <v>&lt;CONDITION&gt;&lt;CLASSNAME/&gt;&lt;CONDITIONNUM&gt;PMPLAN47&lt;/CONDITIONNUM&gt;&lt;DESCRIPTION&gt;Условия для опции подписи "PMPLAN47"&lt;/DESCRIPTION&gt;&lt;EXPRESSION&gt;&lt;![CDATA[(select namerab1 from masterpm where masterpmnum=:masterpm)='090000070861']]&gt;&lt;/EXPRESSION&gt;&lt;TYPE&gt;ВЫРАЖЕНИЕ&lt;/TYPE&gt;&lt;/CONDITION&gt;</v>
      </c>
    </row>
    <row r="49" spans="1:16" ht="30">
      <c r="A49" s="22" t="s">
        <v>259</v>
      </c>
      <c r="B49" s="22" t="s">
        <v>259</v>
      </c>
      <c r="C49" s="23" t="s">
        <v>260</v>
      </c>
      <c r="D49" s="6" t="s">
        <v>382</v>
      </c>
      <c r="E49" s="65" t="s">
        <v>465</v>
      </c>
      <c r="F49" s="71">
        <v>10001000006</v>
      </c>
      <c r="G49" s="6" t="str">
        <f t="shared" si="5"/>
        <v>gppr_p_70862</v>
      </c>
      <c r="I49" t="str">
        <f t="shared" si="6"/>
        <v>&lt;CLASSSTRUCTURE&gt;&lt;CLASSIFICATIONID&gt;gppr_p_70862&lt;/CLASSIFICATIONID&gt;&lt;CLASSSTRUCTUREID&gt;090000070862&lt;/CLASSSTRUCTUREID&gt;&lt;DESCRIPTION&gt;Адресный план работ по переездам (внедрение светофорных головок на светоизлучающих диодах)&lt;/DESCRIPTION&gt;&lt;PARENT&gt;010001000006&lt;/PARENT&gt;&lt;/CLASSSTRUCTURE&gt;</v>
      </c>
      <c r="J49" s="36" t="s">
        <v>578</v>
      </c>
      <c r="K49" s="1" t="str">
        <f t="shared" si="7"/>
        <v>(select namerab1 from masterpm where masterpmnum=:masterpm)='090000070862'</v>
      </c>
      <c r="L49" s="36" t="s">
        <v>578</v>
      </c>
      <c r="M49" t="str">
        <f t="shared" si="9"/>
        <v xml:space="preserve"> &lt;APPLICATIONAUTH&gt;&lt;APP&gt;MASTERPM&lt;/APP&gt;&lt;CONDITIONNUM&gt;PMPLAN48&lt;/CONDITIONNUM&gt;&lt;GROUPNAME&gt;SL_P&lt;/GROUPNAME&gt;&lt;OPTIONNAME&gt;PMPLAN48&lt;/OPTIONNAME&gt;&lt;/APPLICATIONAUTH&gt;</v>
      </c>
      <c r="N49" s="61" t="s">
        <v>578</v>
      </c>
      <c r="P49" s="1" t="str">
        <f t="shared" si="8"/>
        <v>&lt;CONDITION&gt;&lt;CLASSNAME/&gt;&lt;CONDITIONNUM&gt;PMPLAN48&lt;/CONDITIONNUM&gt;&lt;DESCRIPTION&gt;Условия для опции подписи "PMPLAN48"&lt;/DESCRIPTION&gt;&lt;EXPRESSION&gt;&lt;![CDATA[(select namerab1 from masterpm where masterpmnum=:masterpm)='090000070862']]&gt;&lt;/EXPRESSION&gt;&lt;TYPE&gt;ВЫРАЖЕНИЕ&lt;/TYPE&gt;&lt;/CONDITION&gt;</v>
      </c>
    </row>
    <row r="50" spans="1:16">
      <c r="A50" s="22" t="s">
        <v>261</v>
      </c>
      <c r="B50" s="22" t="s">
        <v>261</v>
      </c>
      <c r="C50" s="23" t="s">
        <v>262</v>
      </c>
      <c r="D50" s="6" t="s">
        <v>383</v>
      </c>
      <c r="E50" s="65" t="s">
        <v>466</v>
      </c>
      <c r="F50" s="71">
        <v>10001000006</v>
      </c>
      <c r="G50" s="6" t="str">
        <f t="shared" si="5"/>
        <v>gppr_p_70864</v>
      </c>
      <c r="I50" t="str">
        <f t="shared" si="6"/>
        <v>&lt;CLASSSTRUCTURE&gt;&lt;CLASSIFICATIONID&gt;gppr_p_70864&lt;/CLASSIFICATIONID&gt;&lt;CLASSSTRUCTUREID&gt;090000070864&lt;/CLASSSTRUCTUREID&gt;&lt;DESCRIPTION&gt;Адресный план укладки композитных накладок&lt;/DESCRIPTION&gt;&lt;PARENT&gt;010001000006&lt;/PARENT&gt;&lt;/CLASSSTRUCTURE&gt;</v>
      </c>
      <c r="J50" s="36" t="s">
        <v>578</v>
      </c>
      <c r="K50" s="1" t="str">
        <f t="shared" si="7"/>
        <v>(select namerab1 from masterpm where masterpmnum=:masterpm)='090000070864'</v>
      </c>
      <c r="L50" s="36" t="s">
        <v>578</v>
      </c>
      <c r="M50" t="str">
        <f t="shared" si="9"/>
        <v xml:space="preserve"> &lt;APPLICATIONAUTH&gt;&lt;APP&gt;MASTERPM&lt;/APP&gt;&lt;CONDITIONNUM&gt;PMPLAN49&lt;/CONDITIONNUM&gt;&lt;GROUPNAME&gt;SL_P&lt;/GROUPNAME&gt;&lt;OPTIONNAME&gt;PMPLAN49&lt;/OPTIONNAME&gt;&lt;/APPLICATIONAUTH&gt;</v>
      </c>
      <c r="N50" s="61" t="s">
        <v>578</v>
      </c>
      <c r="P50" s="1" t="str">
        <f t="shared" si="8"/>
        <v>&lt;CONDITION&gt;&lt;CLASSNAME/&gt;&lt;CONDITIONNUM&gt;PMPLAN49&lt;/CONDITIONNUM&gt;&lt;DESCRIPTION&gt;Условия для опции подписи "PMPLAN49"&lt;/DESCRIPTION&gt;&lt;EXPRESSION&gt;&lt;![CDATA[(select namerab1 from masterpm where masterpmnum=:masterpm)='090000070864']]&gt;&lt;/EXPRESSION&gt;&lt;TYPE&gt;ВЫРАЖЕНИЕ&lt;/TYPE&gt;&lt;/CONDITION&gt;</v>
      </c>
    </row>
    <row r="51" spans="1:16">
      <c r="A51" s="22" t="s">
        <v>263</v>
      </c>
      <c r="B51" s="22" t="s">
        <v>263</v>
      </c>
      <c r="C51" s="23" t="s">
        <v>264</v>
      </c>
      <c r="D51" s="6" t="s">
        <v>384</v>
      </c>
      <c r="E51" s="65" t="s">
        <v>467</v>
      </c>
      <c r="F51" s="71">
        <v>10001000006</v>
      </c>
      <c r="G51" s="6" t="str">
        <f t="shared" si="5"/>
        <v>gppr_p_70865</v>
      </c>
      <c r="I51" t="str">
        <f t="shared" si="6"/>
        <v>&lt;CLASSSTRUCTURE&gt;&lt;CLASSIFICATIONID&gt;gppr_p_70865&lt;/CLASSIFICATIONID&gt;&lt;CLASSSTRUCTUREID&gt;090000070865&lt;/CLASSSTRUCTUREID&gt;&lt;DESCRIPTION&gt;Адресный план работ по подрезке балласта&lt;/DESCRIPTION&gt;&lt;PARENT&gt;010001000006&lt;/PARENT&gt;&lt;/CLASSSTRUCTURE&gt;</v>
      </c>
      <c r="J51" s="36" t="s">
        <v>578</v>
      </c>
      <c r="K51" s="1" t="str">
        <f t="shared" si="7"/>
        <v>(select namerab1 from masterpm where masterpmnum=:masterpm)='090000070865'</v>
      </c>
      <c r="L51" s="36" t="s">
        <v>578</v>
      </c>
      <c r="M51" t="str">
        <f t="shared" si="9"/>
        <v xml:space="preserve"> &lt;APPLICATIONAUTH&gt;&lt;APP&gt;MASTERPM&lt;/APP&gt;&lt;CONDITIONNUM&gt;PMPLAN50&lt;/CONDITIONNUM&gt;&lt;GROUPNAME&gt;SL_P&lt;/GROUPNAME&gt;&lt;OPTIONNAME&gt;PMPLAN50&lt;/OPTIONNAME&gt;&lt;/APPLICATIONAUTH&gt;</v>
      </c>
      <c r="N51" s="61" t="s">
        <v>578</v>
      </c>
      <c r="P51" s="1" t="str">
        <f t="shared" si="8"/>
        <v>&lt;CONDITION&gt;&lt;CLASSNAME/&gt;&lt;CONDITIONNUM&gt;PMPLAN50&lt;/CONDITIONNUM&gt;&lt;DESCRIPTION&gt;Условия для опции подписи "PMPLAN50"&lt;/DESCRIPTION&gt;&lt;EXPRESSION&gt;&lt;![CDATA[(select namerab1 from masterpm where masterpmnum=:masterpm)='090000070865']]&gt;&lt;/EXPRESSION&gt;&lt;TYPE&gt;ВЫРАЖЕНИЕ&lt;/TYPE&gt;&lt;/CONDITION&gt;</v>
      </c>
    </row>
    <row r="52" spans="1:16">
      <c r="A52" s="22" t="s">
        <v>265</v>
      </c>
      <c r="B52" s="22" t="s">
        <v>265</v>
      </c>
      <c r="C52" s="23" t="s">
        <v>266</v>
      </c>
      <c r="D52" s="6" t="s">
        <v>385</v>
      </c>
      <c r="E52" s="65" t="s">
        <v>468</v>
      </c>
      <c r="F52" s="71">
        <v>10001000006</v>
      </c>
      <c r="G52" s="6" t="str">
        <f t="shared" si="5"/>
        <v>gppr_p_70866</v>
      </c>
      <c r="I52" t="str">
        <f t="shared" si="6"/>
        <v>&lt;CLASSSTRUCTURE&gt;&lt;CLASSIFICATIONID&gt;gppr_p_70866&lt;/CLASSIFICATIONID&gt;&lt;CLASSSTRUCTUREID&gt;090000070866&lt;/CLASSSTRUCTUREID&gt;&lt;DESCRIPTION&gt;Адресный план приварки рельсовых соединителей&lt;/DESCRIPTION&gt;&lt;PARENT&gt;010001000006&lt;/PARENT&gt;&lt;/CLASSSTRUCTURE&gt;</v>
      </c>
      <c r="J52" s="36" t="s">
        <v>578</v>
      </c>
      <c r="K52" s="1" t="str">
        <f t="shared" si="7"/>
        <v>(select namerab1 from masterpm where masterpmnum=:masterpm)='090000070866'</v>
      </c>
      <c r="L52" s="36" t="s">
        <v>578</v>
      </c>
      <c r="M52" t="str">
        <f t="shared" si="9"/>
        <v xml:space="preserve"> &lt;APPLICATIONAUTH&gt;&lt;APP&gt;MASTERPM&lt;/APP&gt;&lt;CONDITIONNUM&gt;PMPLAN51&lt;/CONDITIONNUM&gt;&lt;GROUPNAME&gt;SL_P&lt;/GROUPNAME&gt;&lt;OPTIONNAME&gt;PMPLAN51&lt;/OPTIONNAME&gt;&lt;/APPLICATIONAUTH&gt;</v>
      </c>
      <c r="N52" s="61" t="s">
        <v>578</v>
      </c>
      <c r="P52" s="1" t="str">
        <f t="shared" si="8"/>
        <v>&lt;CONDITION&gt;&lt;CLASSNAME/&gt;&lt;CONDITIONNUM&gt;PMPLAN51&lt;/CONDITIONNUM&gt;&lt;DESCRIPTION&gt;Условия для опции подписи "PMPLAN51"&lt;/DESCRIPTION&gt;&lt;EXPRESSION&gt;&lt;![CDATA[(select namerab1 from masterpm where masterpmnum=:masterpm)='090000070866']]&gt;&lt;/EXPRESSION&gt;&lt;TYPE&gt;ВЫРАЖЕНИЕ&lt;/TYPE&gt;&lt;/CONDITION&gt;</v>
      </c>
    </row>
    <row r="53" spans="1:16">
      <c r="A53" s="22" t="s">
        <v>267</v>
      </c>
      <c r="B53" s="22" t="s">
        <v>267</v>
      </c>
      <c r="C53" s="23" t="s">
        <v>268</v>
      </c>
      <c r="D53" s="6" t="s">
        <v>386</v>
      </c>
      <c r="E53" s="65" t="s">
        <v>469</v>
      </c>
      <c r="F53" s="71">
        <v>10001000006</v>
      </c>
      <c r="G53" s="6" t="str">
        <f t="shared" si="5"/>
        <v>gppr_p_70867</v>
      </c>
      <c r="I53" t="str">
        <f>"&lt;CLASSSTRUCTURE&gt;&lt;CLASSIFICATIONID&gt;"&amp;G53&amp;"&lt;/CLASSIFICATIONID&gt;&lt;CLASSSTRUCTUREID&gt;"&amp;E53&amp;"&lt;/CLASSSTRUCTUREID&gt;&lt;DESCRIPTION&gt;"&amp;B53&amp;"&lt;/DESCRIPTION&gt;&lt;PARENT&gt;0"&amp;F53&amp;"&lt;/PARENT&gt;&lt;/CLASSSTRUCTURE&gt;"</f>
        <v>&lt;CLASSSTRUCTURE&gt;&lt;CLASSIFICATIONID&gt;gppr_p_70867&lt;/CLASSIFICATIONID&gt;&lt;CLASSSTRUCTUREID&gt;090000070867&lt;/CLASSSTRUCTUREID&gt;&lt;DESCRIPTION&gt;Адресный план установки штепсельных соединителей&lt;/DESCRIPTION&gt;&lt;PARENT&gt;010001000006&lt;/PARENT&gt;&lt;/CLASSSTRUCTURE&gt;</v>
      </c>
      <c r="J53" s="36" t="s">
        <v>578</v>
      </c>
      <c r="K53" s="1" t="str">
        <f t="shared" si="7"/>
        <v>(select namerab1 from masterpm where masterpmnum=:masterpm)='090000070867'</v>
      </c>
      <c r="L53" s="36" t="s">
        <v>578</v>
      </c>
      <c r="M53" t="str">
        <f t="shared" si="9"/>
        <v xml:space="preserve"> &lt;APPLICATIONAUTH&gt;&lt;APP&gt;MASTERPM&lt;/APP&gt;&lt;CONDITIONNUM&gt;PMPLAN52&lt;/CONDITIONNUM&gt;&lt;GROUPNAME&gt;SL_P&lt;/GROUPNAME&gt;&lt;OPTIONNAME&gt;PMPLAN52&lt;/OPTIONNAME&gt;&lt;/APPLICATIONAUTH&gt;</v>
      </c>
      <c r="N53" s="61" t="s">
        <v>578</v>
      </c>
      <c r="P53" s="1" t="str">
        <f t="shared" si="8"/>
        <v>&lt;CONDITION&gt;&lt;CLASSNAME/&gt;&lt;CONDITIONNUM&gt;PMPLAN52&lt;/CONDITIONNUM&gt;&lt;DESCRIPTION&gt;Условия для опции подписи "PMPLAN52"&lt;/DESCRIPTION&gt;&lt;EXPRESSION&gt;&lt;![CDATA[(select namerab1 from masterpm where masterpmnum=:masterpm)='090000070867']]&gt;&lt;/EXPRESSION&gt;&lt;TYPE&gt;ВЫРАЖЕНИЕ&lt;/TYPE&gt;&lt;/CONDITION&gt;</v>
      </c>
    </row>
    <row r="54" spans="1:16">
      <c r="A54" s="22" t="s">
        <v>269</v>
      </c>
      <c r="B54" s="22" t="s">
        <v>269</v>
      </c>
      <c r="C54" s="23" t="s">
        <v>270</v>
      </c>
      <c r="D54" s="6" t="s">
        <v>387</v>
      </c>
      <c r="E54" s="65" t="s">
        <v>470</v>
      </c>
      <c r="F54" s="71">
        <v>10001000006</v>
      </c>
      <c r="G54" s="6" t="str">
        <f t="shared" si="5"/>
        <v>gppr_p_70868</v>
      </c>
      <c r="I54" t="str">
        <f t="shared" si="6"/>
        <v>&lt;CLASSSTRUCTURE&gt;&lt;CLASSIFICATIONID&gt;gppr_p_70868&lt;/CLASSIFICATIONID&gt;&lt;CLASSSTRUCTUREID&gt;090000070868&lt;/CLASSSTRUCTUREID&gt;&lt;DESCRIPTION&gt;Адресный план установки тарельчатых пружин&lt;/DESCRIPTION&gt;&lt;PARENT&gt;010001000006&lt;/PARENT&gt;&lt;/CLASSSTRUCTURE&gt;</v>
      </c>
      <c r="J54" s="36" t="s">
        <v>578</v>
      </c>
      <c r="K54" s="1" t="str">
        <f t="shared" si="7"/>
        <v>(select namerab1 from masterpm where masterpmnum=:masterpm)='090000070868'</v>
      </c>
      <c r="L54" s="36" t="s">
        <v>578</v>
      </c>
      <c r="M54" t="str">
        <f t="shared" si="9"/>
        <v xml:space="preserve"> &lt;APPLICATIONAUTH&gt;&lt;APP&gt;MASTERPM&lt;/APP&gt;&lt;CONDITIONNUM&gt;PMPLAN53&lt;/CONDITIONNUM&gt;&lt;GROUPNAME&gt;SL_P&lt;/GROUPNAME&gt;&lt;OPTIONNAME&gt;PMPLAN53&lt;/OPTIONNAME&gt;&lt;/APPLICATIONAUTH&gt;</v>
      </c>
      <c r="N54" s="61" t="s">
        <v>578</v>
      </c>
      <c r="P54" s="1" t="str">
        <f t="shared" si="8"/>
        <v>&lt;CONDITION&gt;&lt;CLASSNAME/&gt;&lt;CONDITIONNUM&gt;PMPLAN53&lt;/CONDITIONNUM&gt;&lt;DESCRIPTION&gt;Условия для опции подписи "PMPLAN53"&lt;/DESCRIPTION&gt;&lt;EXPRESSION&gt;&lt;![CDATA[(select namerab1 from masterpm where masterpmnum=:masterpm)='090000070868']]&gt;&lt;/EXPRESSION&gt;&lt;TYPE&gt;ВЫРАЖЕНИЕ&lt;/TYPE&gt;&lt;/CONDITION&gt;</v>
      </c>
    </row>
    <row r="55" spans="1:16">
      <c r="A55" s="22" t="s">
        <v>271</v>
      </c>
      <c r="B55" s="22" t="s">
        <v>271</v>
      </c>
      <c r="C55" s="23" t="s">
        <v>272</v>
      </c>
      <c r="D55" s="6" t="s">
        <v>388</v>
      </c>
      <c r="E55" s="65" t="s">
        <v>471</v>
      </c>
      <c r="F55" s="71">
        <v>10001000006</v>
      </c>
      <c r="G55" s="6" t="str">
        <f t="shared" si="5"/>
        <v>gppr_p_70869</v>
      </c>
      <c r="I55" t="str">
        <f t="shared" si="6"/>
        <v>&lt;CLASSSTRUCTURE&gt;&lt;CLASSIFICATIONID&gt;gppr_p_70869&lt;/CLASSIFICATIONID&gt;&lt;CLASSSTRUCTUREID&gt;090000070869&lt;/CLASSSTRUCTUREID&gt;&lt;DESCRIPTION&gt;Адресный план установки пружинных соединителей&lt;/DESCRIPTION&gt;&lt;PARENT&gt;010001000006&lt;/PARENT&gt;&lt;/CLASSSTRUCTURE&gt;</v>
      </c>
      <c r="J55" s="36" t="s">
        <v>578</v>
      </c>
      <c r="K55" s="1" t="str">
        <f t="shared" si="7"/>
        <v>(select namerab1 from masterpm where masterpmnum=:masterpm)='090000070869'</v>
      </c>
      <c r="L55" s="36" t="s">
        <v>578</v>
      </c>
      <c r="M55" t="str">
        <f t="shared" si="9"/>
        <v xml:space="preserve"> &lt;APPLICATIONAUTH&gt;&lt;APP&gt;MASTERPM&lt;/APP&gt;&lt;CONDITIONNUM&gt;PMPLAN54&lt;/CONDITIONNUM&gt;&lt;GROUPNAME&gt;SL_P&lt;/GROUPNAME&gt;&lt;OPTIONNAME&gt;PMPLAN54&lt;/OPTIONNAME&gt;&lt;/APPLICATIONAUTH&gt;</v>
      </c>
      <c r="N55" s="61" t="s">
        <v>578</v>
      </c>
      <c r="P55" s="1" t="str">
        <f t="shared" si="8"/>
        <v>&lt;CONDITION&gt;&lt;CLASSNAME/&gt;&lt;CONDITIONNUM&gt;PMPLAN54&lt;/CONDITIONNUM&gt;&lt;DESCRIPTION&gt;Условия для опции подписи "PMPLAN54"&lt;/DESCRIPTION&gt;&lt;EXPRESSION&gt;&lt;![CDATA[(select namerab1 from masterpm where masterpmnum=:masterpm)='090000070869']]&gt;&lt;/EXPRESSION&gt;&lt;TYPE&gt;ВЫРАЖЕНИЕ&lt;/TYPE&gt;&lt;/CONDITION&gt;</v>
      </c>
    </row>
    <row r="56" spans="1:16">
      <c r="A56" s="22" t="s">
        <v>160</v>
      </c>
      <c r="B56" s="22" t="s">
        <v>159</v>
      </c>
      <c r="C56" s="23" t="s">
        <v>161</v>
      </c>
      <c r="D56" s="6" t="s">
        <v>389</v>
      </c>
      <c r="E56" s="65" t="s">
        <v>472</v>
      </c>
      <c r="F56" s="71">
        <v>10001000006</v>
      </c>
      <c r="G56" s="6" t="str">
        <f t="shared" si="5"/>
        <v>gppr_p_70870</v>
      </c>
      <c r="I56" t="str">
        <f t="shared" si="6"/>
        <v>&lt;CLASSSTRUCTURE&gt;&lt;CLASSIFICATIONID&gt;gppr_p_70870&lt;/CLASSIFICATIONID&gt;&lt;CLASSSTRUCTUREID&gt;090000070870&lt;/CLASSSTRUCTUREID&gt;&lt;DESCRIPTION&gt;Адресный план установки соединителей рельсовых стыковых пружинных&lt;/DESCRIPTION&gt;&lt;PARENT&gt;010001000006&lt;/PARENT&gt;&lt;/CLASSSTRUCTURE&gt;</v>
      </c>
      <c r="J56" s="36" t="s">
        <v>578</v>
      </c>
      <c r="K56" s="1" t="str">
        <f t="shared" si="7"/>
        <v>(select namerab1 from masterpm where masterpmnum=:masterpm)='090000070870'</v>
      </c>
      <c r="L56" s="36" t="s">
        <v>578</v>
      </c>
      <c r="M56" t="str">
        <f t="shared" si="9"/>
        <v xml:space="preserve"> &lt;APPLICATIONAUTH&gt;&lt;APP&gt;MASTERPM&lt;/APP&gt;&lt;CONDITIONNUM&gt;PMPLAN55&lt;/CONDITIONNUM&gt;&lt;GROUPNAME&gt;SL_P&lt;/GROUPNAME&gt;&lt;OPTIONNAME&gt;PMPLAN55&lt;/OPTIONNAME&gt;&lt;/APPLICATIONAUTH&gt;</v>
      </c>
      <c r="N56" s="61" t="s">
        <v>578</v>
      </c>
      <c r="P56" s="1" t="str">
        <f t="shared" si="8"/>
        <v>&lt;CONDITION&gt;&lt;CLASSNAME/&gt;&lt;CONDITIONNUM&gt;PMPLAN55&lt;/CONDITIONNUM&gt;&lt;DESCRIPTION&gt;Условия для опции подписи "PMPLAN55"&lt;/DESCRIPTION&gt;&lt;EXPRESSION&gt;&lt;![CDATA[(select namerab1 from masterpm where masterpmnum=:masterpm)='090000070870']]&gt;&lt;/EXPRESSION&gt;&lt;TYPE&gt;ВЫРАЖЕНИЕ&lt;/TYPE&gt;&lt;/CONDITION&gt;</v>
      </c>
    </row>
    <row r="57" spans="1:16">
      <c r="A57" s="22" t="s">
        <v>273</v>
      </c>
      <c r="B57" s="22" t="s">
        <v>273</v>
      </c>
      <c r="C57" s="23" t="s">
        <v>274</v>
      </c>
      <c r="D57" s="6" t="s">
        <v>390</v>
      </c>
      <c r="E57" s="65" t="s">
        <v>473</v>
      </c>
      <c r="F57" s="71">
        <v>10001000006</v>
      </c>
      <c r="G57" s="6" t="str">
        <f t="shared" si="5"/>
        <v>gppr_p_70871</v>
      </c>
      <c r="I57" t="str">
        <f t="shared" si="6"/>
        <v>&lt;CLASSSTRUCTURE&gt;&lt;CLASSIFICATIONID&gt;gppr_p_70871&lt;/CLASSIFICATIONID&gt;&lt;CLASSSTRUCTUREID&gt;090000070871&lt;/CLASSSTRUCTUREID&gt;&lt;DESCRIPTION&gt;Адресный план комплексной проверки изостыков&lt;/DESCRIPTION&gt;&lt;PARENT&gt;010001000006&lt;/PARENT&gt;&lt;/CLASSSTRUCTURE&gt;</v>
      </c>
      <c r="J57" s="36" t="s">
        <v>578</v>
      </c>
      <c r="K57" s="1" t="str">
        <f t="shared" si="7"/>
        <v>(select namerab1 from masterpm where masterpmnum=:masterpm)='090000070871'</v>
      </c>
      <c r="L57" s="36" t="s">
        <v>578</v>
      </c>
      <c r="M57" t="str">
        <f t="shared" si="9"/>
        <v xml:space="preserve"> &lt;APPLICATIONAUTH&gt;&lt;APP&gt;MASTERPM&lt;/APP&gt;&lt;CONDITIONNUM&gt;PMPLAN56&lt;/CONDITIONNUM&gt;&lt;GROUPNAME&gt;SL_P&lt;/GROUPNAME&gt;&lt;OPTIONNAME&gt;PMPLAN56&lt;/OPTIONNAME&gt;&lt;/APPLICATIONAUTH&gt;</v>
      </c>
      <c r="N57" s="61" t="s">
        <v>578</v>
      </c>
      <c r="P57" s="1" t="str">
        <f t="shared" si="8"/>
        <v>&lt;CONDITION&gt;&lt;CLASSNAME/&gt;&lt;CONDITIONNUM&gt;PMPLAN56&lt;/CONDITIONNUM&gt;&lt;DESCRIPTION&gt;Условия для опции подписи "PMPLAN56"&lt;/DESCRIPTION&gt;&lt;EXPRESSION&gt;&lt;![CDATA[(select namerab1 from masterpm where masterpmnum=:masterpm)='090000070871']]&gt;&lt;/EXPRESSION&gt;&lt;TYPE&gt;ВЫРАЖЕНИЕ&lt;/TYPE&gt;&lt;/CONDITION&gt;</v>
      </c>
    </row>
    <row r="58" spans="1:16" ht="30">
      <c r="A58" s="22" t="s">
        <v>207</v>
      </c>
      <c r="B58" s="22" t="s">
        <v>154</v>
      </c>
      <c r="C58" s="23" t="s">
        <v>147</v>
      </c>
      <c r="D58" s="6" t="s">
        <v>391</v>
      </c>
      <c r="E58" s="65" t="s">
        <v>418</v>
      </c>
      <c r="F58" s="71">
        <v>10001000006</v>
      </c>
      <c r="G58" s="6" t="str">
        <f t="shared" si="5"/>
        <v>gppr_p_70376</v>
      </c>
      <c r="I58" t="str">
        <f t="shared" si="6"/>
        <v>&lt;CLASSSTRUCTURE&gt;&lt;CLASSIFICATIONID&gt;gppr_p_70376&lt;/CLASSIFICATIONID&gt;&lt;CLASSSTRUCTUREID&gt;090000070376&lt;/CLASSSTRUCTUREID&gt;&lt;DESCRIPTION&gt;Адресный план по ограждению пути от выхода скота на путь на перегонах&lt;/DESCRIPTION&gt;&lt;PARENT&gt;010001000006&lt;/PARENT&gt;&lt;/CLASSSTRUCTURE&gt;</v>
      </c>
      <c r="J58" s="36" t="s">
        <v>578</v>
      </c>
      <c r="K58" s="1" t="str">
        <f t="shared" si="7"/>
        <v>(select namerab1 from masterpm where masterpmnum=:masterpm)='090000070376'</v>
      </c>
      <c r="L58" s="36" t="s">
        <v>578</v>
      </c>
      <c r="M58" t="str">
        <f t="shared" si="9"/>
        <v xml:space="preserve"> &lt;APPLICATIONAUTH&gt;&lt;APP&gt;MASTERPM&lt;/APP&gt;&lt;CONDITIONNUM&gt;PMPLAN57&lt;/CONDITIONNUM&gt;&lt;GROUPNAME&gt;SL_P&lt;/GROUPNAME&gt;&lt;OPTIONNAME&gt;PMPLAN57&lt;/OPTIONNAME&gt;&lt;/APPLICATIONAUTH&gt;</v>
      </c>
      <c r="N58" s="61" t="s">
        <v>578</v>
      </c>
      <c r="P58" s="1" t="str">
        <f t="shared" si="8"/>
        <v>&lt;CONDITION&gt;&lt;CLASSNAME/&gt;&lt;CONDITIONNUM&gt;PMPLAN57&lt;/CONDITIONNUM&gt;&lt;DESCRIPTION&gt;Условия для опции подписи "PMPLAN57"&lt;/DESCRIPTION&gt;&lt;EXPRESSION&gt;&lt;![CDATA[(select namerab1 from masterpm where masterpmnum=:masterpm)='090000070376']]&gt;&lt;/EXPRESSION&gt;&lt;TYPE&gt;ВЫРАЖЕНИЕ&lt;/TYPE&gt;&lt;/CONDITION&gt;</v>
      </c>
    </row>
    <row r="59" spans="1:16" ht="45">
      <c r="A59" s="22" t="s">
        <v>275</v>
      </c>
      <c r="B59" s="22" t="s">
        <v>275</v>
      </c>
      <c r="C59" s="23" t="s">
        <v>501</v>
      </c>
      <c r="D59" s="6" t="s">
        <v>392</v>
      </c>
      <c r="E59" s="65" t="s">
        <v>474</v>
      </c>
      <c r="F59" s="71">
        <v>10001000006</v>
      </c>
      <c r="G59" s="6" t="str">
        <f t="shared" si="5"/>
        <v>gppr_p_70874</v>
      </c>
      <c r="I59" t="str">
        <f>"&lt;CLASSSTRUCTURE&gt;&lt;CLASSIFICATIONID&gt;"&amp;G59&amp;"&lt;/CLASSIFICATIONID&gt;&lt;CLASSSTRUCTUREID&gt;"&amp;E59&amp;"&lt;/CLASSSTRUCTUREID&gt;&lt;DESCRIPTION&gt;"&amp;B59&amp;"&lt;/DESCRIPTION&gt;&lt;PARENT&gt;0"&amp;F59&amp;"&lt;/PARENT&gt;&lt;/CLASSSTRUCTURE&gt;"</f>
        <v>&lt;CLASSSTRUCTURE&gt;&lt;CLASSIFICATIONID&gt;gppr_p_70874&lt;/CLASSIFICATIONID&gt;&lt;CLASSSTRUCTUREID&gt;090000070874&lt;/CLASSSTRUCTUREID&gt;&lt;DESCRIPTION&gt;Адресный план оздоровления пути на участках, где приказом начальника дороги ограничена скорость движения для грузовых поездов, имеющих в своем составе порожние вагоны&lt;/DESCRIPTION&gt;&lt;PARENT&gt;010001000006&lt;/PARENT&gt;&lt;/CLASSSTRUCTURE&gt;</v>
      </c>
      <c r="J59" s="36" t="s">
        <v>578</v>
      </c>
      <c r="K59" s="1" t="str">
        <f t="shared" si="7"/>
        <v>(select namerab1 from masterpm where masterpmnum=:masterpm)='090000070874'</v>
      </c>
      <c r="L59" s="36" t="s">
        <v>578</v>
      </c>
      <c r="M59" t="str">
        <f t="shared" si="9"/>
        <v xml:space="preserve"> &lt;APPLICATIONAUTH&gt;&lt;APP&gt;MASTERPM&lt;/APP&gt;&lt;CONDITIONNUM&gt;PMPLAN58&lt;/CONDITIONNUM&gt;&lt;GROUPNAME&gt;SL_P&lt;/GROUPNAME&gt;&lt;OPTIONNAME&gt;PMPLAN58&lt;/OPTIONNAME&gt;&lt;/APPLICATIONAUTH&gt;</v>
      </c>
      <c r="N59" s="61" t="s">
        <v>578</v>
      </c>
      <c r="P59" s="1" t="str">
        <f t="shared" si="8"/>
        <v>&lt;CONDITION&gt;&lt;CLASSNAME/&gt;&lt;CONDITIONNUM&gt;PMPLAN58&lt;/CONDITIONNUM&gt;&lt;DESCRIPTION&gt;Условия для опции подписи "PMPLAN58"&lt;/DESCRIPTION&gt;&lt;EXPRESSION&gt;&lt;![CDATA[(select namerab1 from masterpm where masterpmnum=:masterpm)='090000070874']]&gt;&lt;/EXPRESSION&gt;&lt;TYPE&gt;ВЫРАЖЕНИЕ&lt;/TYPE&gt;&lt;/CONDITION&gt;</v>
      </c>
    </row>
    <row r="60" spans="1:16" ht="30">
      <c r="A60" s="22" t="s">
        <v>276</v>
      </c>
      <c r="B60" s="22" t="s">
        <v>277</v>
      </c>
      <c r="C60" s="23" t="s">
        <v>278</v>
      </c>
      <c r="D60" s="6" t="s">
        <v>393</v>
      </c>
      <c r="E60" s="65" t="s">
        <v>475</v>
      </c>
      <c r="F60" s="71">
        <v>10001000006</v>
      </c>
      <c r="G60" s="6" t="str">
        <f t="shared" si="5"/>
        <v>gppr_p_70893</v>
      </c>
      <c r="I60" t="str">
        <f t="shared" si="6"/>
        <v>&lt;CLASSSTRUCTURE&gt;&lt;CLASSIFICATIONID&gt;gppr_p_70893&lt;/CLASSIFICATIONID&gt;&lt;CLASSSTRUCTUREID&gt;090000070893&lt;/CLASSSTRUCTUREID&gt;&lt;DESCRIPTION&gt;Адресный план выполнения работ по оздоровлению станционных путей 4, 5 классов. Вынос стрелочных переводов из кривых участков пути&lt;/DESCRIPTION&gt;&lt;PARENT&gt;010001000006&lt;/PARENT&gt;&lt;/CLASSSTRUCTURE&gt;</v>
      </c>
      <c r="J60" s="36" t="s">
        <v>578</v>
      </c>
      <c r="K60" s="1" t="str">
        <f t="shared" si="7"/>
        <v>(select namerab1 from masterpm where masterpmnum=:masterpm)='090000070893'</v>
      </c>
      <c r="L60" s="36" t="s">
        <v>578</v>
      </c>
      <c r="M60" t="str">
        <f t="shared" si="9"/>
        <v xml:space="preserve"> &lt;APPLICATIONAUTH&gt;&lt;APP&gt;MASTERPM&lt;/APP&gt;&lt;CONDITIONNUM&gt;PMPLAN59&lt;/CONDITIONNUM&gt;&lt;GROUPNAME&gt;SL_P&lt;/GROUPNAME&gt;&lt;OPTIONNAME&gt;PMPLAN59&lt;/OPTIONNAME&gt;&lt;/APPLICATIONAUTH&gt;</v>
      </c>
      <c r="N60" s="61" t="s">
        <v>578</v>
      </c>
      <c r="P60" s="1" t="str">
        <f t="shared" si="8"/>
        <v>&lt;CONDITION&gt;&lt;CLASSNAME/&gt;&lt;CONDITIONNUM&gt;PMPLAN59&lt;/CONDITIONNUM&gt;&lt;DESCRIPTION&gt;Условия для опции подписи "PMPLAN59"&lt;/DESCRIPTION&gt;&lt;EXPRESSION&gt;&lt;![CDATA[(select namerab1 from masterpm where masterpmnum=:masterpm)='090000070893']]&gt;&lt;/EXPRESSION&gt;&lt;TYPE&gt;ВЫРАЖЕНИЕ&lt;/TYPE&gt;&lt;/CONDITION&gt;</v>
      </c>
    </row>
    <row r="61" spans="1:16" ht="30">
      <c r="A61" s="22" t="s">
        <v>279</v>
      </c>
      <c r="B61" s="22" t="s">
        <v>280</v>
      </c>
      <c r="C61" s="23" t="s">
        <v>281</v>
      </c>
      <c r="D61" s="6" t="s">
        <v>394</v>
      </c>
      <c r="E61" s="65" t="s">
        <v>476</v>
      </c>
      <c r="F61" s="71">
        <v>10001000006</v>
      </c>
      <c r="G61" s="6" t="str">
        <f t="shared" si="5"/>
        <v>gppr_p_70894</v>
      </c>
      <c r="I61" t="str">
        <f t="shared" si="6"/>
        <v>&lt;CLASSSTRUCTURE&gt;&lt;CLASSIFICATIONID&gt;gppr_p_70894&lt;/CLASSIFICATIONID&gt;&lt;CLASSSTRUCTUREID&gt;090000070894&lt;/CLASSSTRUCTUREID&gt;&lt;DESCRIPTION&gt;Адресный план выполнения работ по оздоровлению станционных путей 4, 5 классов. Смена стрелочных переводов на более тяжелый тип&lt;/DESCRIPTION&gt;&lt;PARENT&gt;010001000006&lt;/PARENT&gt;&lt;/CLASSSTRUCTURE&gt;</v>
      </c>
      <c r="J61" s="36" t="s">
        <v>578</v>
      </c>
      <c r="K61" s="1" t="str">
        <f t="shared" si="7"/>
        <v>(select namerab1 from masterpm where masterpmnum=:masterpm)='090000070894'</v>
      </c>
      <c r="L61" s="36" t="s">
        <v>578</v>
      </c>
      <c r="M61" t="str">
        <f t="shared" si="9"/>
        <v xml:space="preserve"> &lt;APPLICATIONAUTH&gt;&lt;APP&gt;MASTERPM&lt;/APP&gt;&lt;CONDITIONNUM&gt;PMPLAN60&lt;/CONDITIONNUM&gt;&lt;GROUPNAME&gt;SL_P&lt;/GROUPNAME&gt;&lt;OPTIONNAME&gt;PMPLAN60&lt;/OPTIONNAME&gt;&lt;/APPLICATIONAUTH&gt;</v>
      </c>
      <c r="N61" s="61" t="s">
        <v>578</v>
      </c>
      <c r="P61" s="1" t="str">
        <f t="shared" si="8"/>
        <v>&lt;CONDITION&gt;&lt;CLASSNAME/&gt;&lt;CONDITIONNUM&gt;PMPLAN60&lt;/CONDITIONNUM&gt;&lt;DESCRIPTION&gt;Условия для опции подписи "PMPLAN60"&lt;/DESCRIPTION&gt;&lt;EXPRESSION&gt;&lt;![CDATA[(select namerab1 from masterpm where masterpmnum=:masterpm)='090000070894']]&gt;&lt;/EXPRESSION&gt;&lt;TYPE&gt;ВЫРАЖЕНИЕ&lt;/TYPE&gt;&lt;/CONDITION&gt;</v>
      </c>
    </row>
    <row r="62" spans="1:16" ht="30">
      <c r="A62" s="22" t="s">
        <v>282</v>
      </c>
      <c r="B62" s="22" t="s">
        <v>602</v>
      </c>
      <c r="C62" s="23" t="s">
        <v>283</v>
      </c>
      <c r="D62" s="6" t="s">
        <v>395</v>
      </c>
      <c r="E62" s="65" t="s">
        <v>477</v>
      </c>
      <c r="F62" s="71">
        <v>10001000006</v>
      </c>
      <c r="G62" s="6" t="str">
        <f t="shared" si="5"/>
        <v>gppr_p_70895</v>
      </c>
      <c r="I62" t="str">
        <f t="shared" si="6"/>
        <v>&lt;CLASSSTRUCTURE&gt;&lt;CLASSIFICATIONID&gt;gppr_p_70895&lt;/CLASSIFICATIONID&gt;&lt;CLASSSTRUCTUREID&gt;090000070895&lt;/CLASSSTRUCTUREID&gt;&lt;DESCRIPTION&gt;Адресный план выполнения работ по оздоровлению станционных путей 4, 5 классов. Смена стрелочных переводов с/г&lt;/DESCRIPTION&gt;&lt;PARENT&gt;010001000006&lt;/PARENT&gt;&lt;/CLASSSTRUCTURE&gt;</v>
      </c>
      <c r="J62" s="36" t="s">
        <v>578</v>
      </c>
      <c r="K62" s="1" t="str">
        <f t="shared" si="7"/>
        <v>(select namerab1 from masterpm where masterpmnum=:masterpm)='090000070895'</v>
      </c>
      <c r="L62" s="36" t="s">
        <v>578</v>
      </c>
      <c r="M62" t="str">
        <f t="shared" si="9"/>
        <v xml:space="preserve"> &lt;APPLICATIONAUTH&gt;&lt;APP&gt;MASTERPM&lt;/APP&gt;&lt;CONDITIONNUM&gt;PMPLAN61&lt;/CONDITIONNUM&gt;&lt;GROUPNAME&gt;SL_P&lt;/GROUPNAME&gt;&lt;OPTIONNAME&gt;PMPLAN61&lt;/OPTIONNAME&gt;&lt;/APPLICATIONAUTH&gt;</v>
      </c>
      <c r="N62" s="61" t="s">
        <v>578</v>
      </c>
      <c r="P62" s="1" t="str">
        <f t="shared" si="8"/>
        <v>&lt;CONDITION&gt;&lt;CLASSNAME/&gt;&lt;CONDITIONNUM&gt;PMPLAN61&lt;/CONDITIONNUM&gt;&lt;DESCRIPTION&gt;Условия для опции подписи "PMPLAN61"&lt;/DESCRIPTION&gt;&lt;EXPRESSION&gt;&lt;![CDATA[(select namerab1 from masterpm where masterpmnum=:masterpm)='090000070895']]&gt;&lt;/EXPRESSION&gt;&lt;TYPE&gt;ВЫРАЖЕНИЕ&lt;/TYPE&gt;&lt;/CONDITION&gt;</v>
      </c>
    </row>
    <row r="63" spans="1:16" ht="30">
      <c r="A63" s="22" t="s">
        <v>284</v>
      </c>
      <c r="B63" s="22" t="s">
        <v>285</v>
      </c>
      <c r="C63" s="23" t="s">
        <v>286</v>
      </c>
      <c r="D63" s="6" t="s">
        <v>396</v>
      </c>
      <c r="E63" s="65" t="s">
        <v>478</v>
      </c>
      <c r="F63" s="71">
        <v>10001000006</v>
      </c>
      <c r="G63" s="6" t="str">
        <f t="shared" si="5"/>
        <v>gppr_p_70896</v>
      </c>
      <c r="I63" t="str">
        <f t="shared" si="6"/>
        <v>&lt;CLASSSTRUCTURE&gt;&lt;CLASSIFICATIONID&gt;gppr_p_70896&lt;/CLASSIFICATIONID&gt;&lt;CLASSSTRUCTUREID&gt;090000070896&lt;/CLASSSTRUCTUREID&gt;&lt;DESCRIPTION&gt;Адресный план выполнения работ по оздоровлению станционных путей 4, 5 классов. Смена переводных брусьев&lt;/DESCRIPTION&gt;&lt;PARENT&gt;010001000006&lt;/PARENT&gt;&lt;/CLASSSTRUCTURE&gt;</v>
      </c>
      <c r="J63" s="36" t="s">
        <v>578</v>
      </c>
      <c r="K63" s="1" t="str">
        <f t="shared" si="7"/>
        <v>(select namerab1 from masterpm where masterpmnum=:masterpm)='090000070896'</v>
      </c>
      <c r="L63" s="36" t="s">
        <v>578</v>
      </c>
      <c r="M63" t="str">
        <f t="shared" si="9"/>
        <v xml:space="preserve"> &lt;APPLICATIONAUTH&gt;&lt;APP&gt;MASTERPM&lt;/APP&gt;&lt;CONDITIONNUM&gt;PMPLAN62&lt;/CONDITIONNUM&gt;&lt;GROUPNAME&gt;SL_P&lt;/GROUPNAME&gt;&lt;OPTIONNAME&gt;PMPLAN62&lt;/OPTIONNAME&gt;&lt;/APPLICATIONAUTH&gt;</v>
      </c>
      <c r="N63" s="61" t="s">
        <v>578</v>
      </c>
      <c r="P63" s="1" t="str">
        <f t="shared" si="8"/>
        <v>&lt;CONDITION&gt;&lt;CLASSNAME/&gt;&lt;CONDITIONNUM&gt;PMPLAN62&lt;/CONDITIONNUM&gt;&lt;DESCRIPTION&gt;Условия для опции подписи "PMPLAN62"&lt;/DESCRIPTION&gt;&lt;EXPRESSION&gt;&lt;![CDATA[(select namerab1 from masterpm where masterpmnum=:masterpm)='090000070896']]&gt;&lt;/EXPRESSION&gt;&lt;TYPE&gt;ВЫРАЖЕНИЕ&lt;/TYPE&gt;&lt;/CONDITION&gt;</v>
      </c>
    </row>
    <row r="64" spans="1:16" ht="30">
      <c r="A64" s="22" t="s">
        <v>287</v>
      </c>
      <c r="B64" s="22" t="s">
        <v>288</v>
      </c>
      <c r="C64" s="23" t="s">
        <v>289</v>
      </c>
      <c r="D64" s="6" t="s">
        <v>397</v>
      </c>
      <c r="E64" s="65" t="s">
        <v>479</v>
      </c>
      <c r="F64" s="71">
        <v>10001000006</v>
      </c>
      <c r="G64" s="6" t="str">
        <f t="shared" si="5"/>
        <v>gppr_p_70897</v>
      </c>
      <c r="I64" t="str">
        <f t="shared" si="6"/>
        <v>&lt;CLASSSTRUCTURE&gt;&lt;CLASSIFICATIONID&gt;gppr_p_70897&lt;/CLASSIFICATIONID&gt;&lt;CLASSSTRUCTUREID&gt;090000070897&lt;/CLASSSTRUCTUREID&gt;&lt;DESCRIPTION&gt;Адресный план выполнения работ по оздоровлению станционных путей 4, 5 классов. Смена рельсов на межстрелочных участках новыми&lt;/DESCRIPTION&gt;&lt;PARENT&gt;010001000006&lt;/PARENT&gt;&lt;/CLASSSTRUCTURE&gt;</v>
      </c>
      <c r="J64" s="36" t="s">
        <v>578</v>
      </c>
      <c r="K64" s="1" t="str">
        <f t="shared" si="7"/>
        <v>(select namerab1 from masterpm where masterpmnum=:masterpm)='090000070897'</v>
      </c>
      <c r="L64" s="36" t="s">
        <v>578</v>
      </c>
      <c r="M64" t="str">
        <f t="shared" si="9"/>
        <v xml:space="preserve"> &lt;APPLICATIONAUTH&gt;&lt;APP&gt;MASTERPM&lt;/APP&gt;&lt;CONDITIONNUM&gt;PMPLAN63&lt;/CONDITIONNUM&gt;&lt;GROUPNAME&gt;SL_P&lt;/GROUPNAME&gt;&lt;OPTIONNAME&gt;PMPLAN63&lt;/OPTIONNAME&gt;&lt;/APPLICATIONAUTH&gt;</v>
      </c>
      <c r="N64" s="61" t="s">
        <v>578</v>
      </c>
      <c r="P64" s="1" t="str">
        <f t="shared" si="8"/>
        <v>&lt;CONDITION&gt;&lt;CLASSNAME/&gt;&lt;CONDITIONNUM&gt;PMPLAN63&lt;/CONDITIONNUM&gt;&lt;DESCRIPTION&gt;Условия для опции подписи "PMPLAN63"&lt;/DESCRIPTION&gt;&lt;EXPRESSION&gt;&lt;![CDATA[(select namerab1 from masterpm where masterpmnum=:masterpm)='090000070897']]&gt;&lt;/EXPRESSION&gt;&lt;TYPE&gt;ВЫРАЖЕНИЕ&lt;/TYPE&gt;&lt;/CONDITION&gt;</v>
      </c>
    </row>
    <row r="65" spans="1:16" ht="30">
      <c r="A65" s="22" t="s">
        <v>290</v>
      </c>
      <c r="B65" s="22" t="s">
        <v>291</v>
      </c>
      <c r="C65" s="23" t="s">
        <v>292</v>
      </c>
      <c r="D65" s="6" t="s">
        <v>398</v>
      </c>
      <c r="E65" s="65" t="s">
        <v>480</v>
      </c>
      <c r="F65" s="71">
        <v>10001000006</v>
      </c>
      <c r="G65" s="6" t="str">
        <f t="shared" si="5"/>
        <v>gppr_p_70898</v>
      </c>
      <c r="I65" t="str">
        <f>"&lt;CLASSSTRUCTURE&gt;&lt;CLASSIFICATIONID&gt;"&amp;G65&amp;"&lt;/CLASSIFICATIONID&gt;&lt;CLASSSTRUCTUREID&gt;"&amp;E65&amp;"&lt;/CLASSSTRUCTUREID&gt;&lt;DESCRIPTION&gt;"&amp;B65&amp;"&lt;/DESCRIPTION&gt;&lt;PARENT&gt;0"&amp;F65&amp;"&lt;/PARENT&gt;&lt;/CLASSSTRUCTURE&gt;"</f>
        <v>&lt;CLASSSTRUCTURE&gt;&lt;CLASSIFICATIONID&gt;gppr_p_70898&lt;/CLASSIFICATIONID&gt;&lt;CLASSSTRUCTUREID&gt;090000070898&lt;/CLASSSTRUCTUREID&gt;&lt;DESCRIPTION&gt;Адресный план выполнения работ по оздоровлению станционных путей 4, 5 классов. Смена рельсов на межстрелочных участках старогодными&lt;/DESCRIPTION&gt;&lt;PARENT&gt;010001000006&lt;/PARENT&gt;&lt;/CLASSSTRUCTURE&gt;</v>
      </c>
      <c r="J65" s="36" t="s">
        <v>578</v>
      </c>
      <c r="K65" s="1" t="str">
        <f t="shared" si="7"/>
        <v>(select namerab1 from masterpm where masterpmnum=:masterpm)='090000070898'</v>
      </c>
      <c r="L65" s="36" t="s">
        <v>578</v>
      </c>
      <c r="M65" t="str">
        <f t="shared" si="9"/>
        <v xml:space="preserve"> &lt;APPLICATIONAUTH&gt;&lt;APP&gt;MASTERPM&lt;/APP&gt;&lt;CONDITIONNUM&gt;PMPLAN64&lt;/CONDITIONNUM&gt;&lt;GROUPNAME&gt;SL_P&lt;/GROUPNAME&gt;&lt;OPTIONNAME&gt;PMPLAN64&lt;/OPTIONNAME&gt;&lt;/APPLICATIONAUTH&gt;</v>
      </c>
      <c r="N65" s="61" t="s">
        <v>578</v>
      </c>
      <c r="P65" s="1" t="str">
        <f t="shared" si="8"/>
        <v>&lt;CONDITION&gt;&lt;CLASSNAME/&gt;&lt;CONDITIONNUM&gt;PMPLAN64&lt;/CONDITIONNUM&gt;&lt;DESCRIPTION&gt;Условия для опции подписи "PMPLAN64"&lt;/DESCRIPTION&gt;&lt;EXPRESSION&gt;&lt;![CDATA[(select namerab1 from masterpm where masterpmnum=:masterpm)='090000070898']]&gt;&lt;/EXPRESSION&gt;&lt;TYPE&gt;ВЫРАЖЕНИЕ&lt;/TYPE&gt;&lt;/CONDITION&gt;</v>
      </c>
    </row>
    <row r="66" spans="1:16" ht="30">
      <c r="A66" s="22" t="s">
        <v>293</v>
      </c>
      <c r="B66" s="22" t="s">
        <v>294</v>
      </c>
      <c r="C66" s="23" t="s">
        <v>295</v>
      </c>
      <c r="D66" s="6" t="s">
        <v>399</v>
      </c>
      <c r="E66" s="65" t="s">
        <v>481</v>
      </c>
      <c r="F66" s="71">
        <v>10001000006</v>
      </c>
      <c r="G66" s="6" t="str">
        <f t="shared" ref="G66:G85" si="10">IF(E66&lt;&gt;0,"gppr_p_"&amp;RIGHT(E66,5),0)</f>
        <v>gppr_p_70899</v>
      </c>
      <c r="I66" t="str">
        <f t="shared" ref="I66:I77" si="11">"&lt;CLASSSTRUCTURE&gt;&lt;CLASSIFICATIONID&gt;"&amp;G66&amp;"&lt;/CLASSIFICATIONID&gt;&lt;CLASSSTRUCTUREID&gt;"&amp;E66&amp;"&lt;/CLASSSTRUCTUREID&gt;&lt;DESCRIPTION&gt;"&amp;B66&amp;"&lt;/DESCRIPTION&gt;&lt;PARENT&gt;0"&amp;F66&amp;"&lt;/PARENT&gt;&lt;/CLASSSTRUCTURE&gt;"</f>
        <v>&lt;CLASSSTRUCTURE&gt;&lt;CLASSIFICATIONID&gt;gppr_p_70899&lt;/CLASSIFICATIONID&gt;&lt;CLASSSTRUCTUREID&gt;090000070899&lt;/CLASSSTRUCTUREID&gt;&lt;DESCRIPTION&gt;Адресный план выполнения работ по оздоровлению станционных путей 4, 5 классов. Капитальный ремонт на с/г рельсах&lt;/DESCRIPTION&gt;&lt;PARENT&gt;010001000006&lt;/PARENT&gt;&lt;/CLASSSTRUCTURE&gt;</v>
      </c>
      <c r="J66" s="36" t="s">
        <v>578</v>
      </c>
      <c r="K66" s="1" t="str">
        <f t="shared" ref="K66:K76" si="12">"(select namerab1 from masterpm where masterpmnum=:masterpm)='"&amp;E66&amp;"'"</f>
        <v>(select namerab1 from masterpm where masterpmnum=:masterpm)='090000070899'</v>
      </c>
      <c r="L66" s="36" t="s">
        <v>578</v>
      </c>
      <c r="M66" t="str">
        <f t="shared" si="9"/>
        <v xml:space="preserve"> &lt;APPLICATIONAUTH&gt;&lt;APP&gt;MASTERPM&lt;/APP&gt;&lt;CONDITIONNUM&gt;PMPLAN65&lt;/CONDITIONNUM&gt;&lt;GROUPNAME&gt;SL_P&lt;/GROUPNAME&gt;&lt;OPTIONNAME&gt;PMPLAN65&lt;/OPTIONNAME&gt;&lt;/APPLICATIONAUTH&gt;</v>
      </c>
      <c r="N66" s="61" t="s">
        <v>578</v>
      </c>
      <c r="P66" s="1" t="str">
        <f t="shared" ref="P66:P77" si="13">"&lt;CONDITION&gt;&lt;CLASSNAME/&gt;&lt;CONDITIONNUM&gt;"&amp;D66&amp;"&lt;/CONDITIONNUM&gt;&lt;DESCRIPTION&gt;Условия для опции подписи """&amp;D66&amp;"""&lt;/DESCRIPTION&gt;&lt;EXPRESSION&gt;&lt;![CDATA["&amp;K66&amp;"]]&gt;&lt;/EXPRESSION&gt;&lt;TYPE&gt;ВЫРАЖЕНИЕ&lt;/TYPE&gt;&lt;/CONDITION&gt;"</f>
        <v>&lt;CONDITION&gt;&lt;CLASSNAME/&gt;&lt;CONDITIONNUM&gt;PMPLAN65&lt;/CONDITIONNUM&gt;&lt;DESCRIPTION&gt;Условия для опции подписи "PMPLAN65"&lt;/DESCRIPTION&gt;&lt;EXPRESSION&gt;&lt;![CDATA[(select namerab1 from masterpm where masterpmnum=:masterpm)='090000070899']]&gt;&lt;/EXPRESSION&gt;&lt;TYPE&gt;ВЫРАЖЕНИЕ&lt;/TYPE&gt;&lt;/CONDITION&gt;</v>
      </c>
    </row>
    <row r="67" spans="1:16" ht="30">
      <c r="A67" s="22" t="s">
        <v>296</v>
      </c>
      <c r="B67" s="22" t="s">
        <v>305</v>
      </c>
      <c r="C67" s="23" t="s">
        <v>297</v>
      </c>
      <c r="D67" s="6" t="s">
        <v>400</v>
      </c>
      <c r="E67" s="65" t="s">
        <v>482</v>
      </c>
      <c r="F67" s="71">
        <v>10001000006</v>
      </c>
      <c r="G67" s="6" t="str">
        <f t="shared" si="10"/>
        <v>gppr_p_70900</v>
      </c>
      <c r="I67" t="str">
        <f t="shared" si="11"/>
        <v>&lt;CLASSSTRUCTURE&gt;&lt;CLASSIFICATIONID&gt;gppr_p_70900&lt;/CLASSIFICATIONID&gt;&lt;CLASSSTRUCTUREID&gt;090000070900&lt;/CLASSSTRUCTUREID&gt;&lt;DESCRIPTION&gt;Адресный план выполнения работ по оздоровлению станционных путей 4, 5 классов. Средний ремонт&lt;/DESCRIPTION&gt;&lt;PARENT&gt;010001000006&lt;/PARENT&gt;&lt;/CLASSSTRUCTURE&gt;</v>
      </c>
      <c r="J67" s="36" t="s">
        <v>578</v>
      </c>
      <c r="K67" s="1" t="str">
        <f t="shared" si="12"/>
        <v>(select namerab1 from masterpm where masterpmnum=:masterpm)='090000070900'</v>
      </c>
      <c r="L67" s="36" t="s">
        <v>578</v>
      </c>
      <c r="M67" t="str">
        <f t="shared" si="9"/>
        <v xml:space="preserve"> &lt;APPLICATIONAUTH&gt;&lt;APP&gt;MASTERPM&lt;/APP&gt;&lt;CONDITIONNUM&gt;PMPLAN66&lt;/CONDITIONNUM&gt;&lt;GROUPNAME&gt;SL_P&lt;/GROUPNAME&gt;&lt;OPTIONNAME&gt;PMPLAN66&lt;/OPTIONNAME&gt;&lt;/APPLICATIONAUTH&gt;</v>
      </c>
      <c r="N67" s="61" t="s">
        <v>578</v>
      </c>
      <c r="P67" s="1" t="str">
        <f t="shared" si="13"/>
        <v>&lt;CONDITION&gt;&lt;CLASSNAME/&gt;&lt;CONDITIONNUM&gt;PMPLAN66&lt;/CONDITIONNUM&gt;&lt;DESCRIPTION&gt;Условия для опции подписи "PMPLAN66"&lt;/DESCRIPTION&gt;&lt;EXPRESSION&gt;&lt;![CDATA[(select namerab1 from masterpm where masterpmnum=:masterpm)='090000070900']]&gt;&lt;/EXPRESSION&gt;&lt;TYPE&gt;ВЫРАЖЕНИЕ&lt;/TYPE&gt;&lt;/CONDITION&gt;</v>
      </c>
    </row>
    <row r="68" spans="1:16" ht="30">
      <c r="A68" s="22" t="s">
        <v>306</v>
      </c>
      <c r="B68" s="22" t="s">
        <v>307</v>
      </c>
      <c r="C68" s="23" t="s">
        <v>298</v>
      </c>
      <c r="D68" s="6" t="s">
        <v>401</v>
      </c>
      <c r="E68" s="65" t="s">
        <v>483</v>
      </c>
      <c r="F68" s="71">
        <v>10001000006</v>
      </c>
      <c r="G68" s="6" t="str">
        <f t="shared" si="10"/>
        <v>gppr_p_70901</v>
      </c>
      <c r="I68" t="str">
        <f t="shared" si="11"/>
        <v>&lt;CLASSSTRUCTURE&gt;&lt;CLASSIFICATIONID&gt;gppr_p_70901&lt;/CLASSIFICATIONID&gt;&lt;CLASSSTRUCTUREID&gt;090000070901&lt;/CLASSSTRUCTUREID&gt;&lt;DESCRIPTION&gt;Адресный план выполнения работ по оздоровлению станционных путей 4, 5 классов. Подъемочный ремонт пути&lt;/DESCRIPTION&gt;&lt;PARENT&gt;010001000006&lt;/PARENT&gt;&lt;/CLASSSTRUCTURE&gt;</v>
      </c>
      <c r="J68" s="36" t="s">
        <v>578</v>
      </c>
      <c r="K68" s="1" t="str">
        <f t="shared" si="12"/>
        <v>(select namerab1 from masterpm where masterpmnum=:masterpm)='090000070901'</v>
      </c>
      <c r="L68" s="36" t="s">
        <v>578</v>
      </c>
      <c r="M68" t="str">
        <f t="shared" si="9"/>
        <v xml:space="preserve"> &lt;APPLICATIONAUTH&gt;&lt;APP&gt;MASTERPM&lt;/APP&gt;&lt;CONDITIONNUM&gt;PMPLAN67&lt;/CONDITIONNUM&gt;&lt;GROUPNAME&gt;SL_P&lt;/GROUPNAME&gt;&lt;OPTIONNAME&gt;PMPLAN67&lt;/OPTIONNAME&gt;&lt;/APPLICATIONAUTH&gt;</v>
      </c>
      <c r="N68" s="61" t="s">
        <v>578</v>
      </c>
      <c r="P68" s="1" t="str">
        <f t="shared" si="13"/>
        <v>&lt;CONDITION&gt;&lt;CLASSNAME/&gt;&lt;CONDITIONNUM&gt;PMPLAN67&lt;/CONDITIONNUM&gt;&lt;DESCRIPTION&gt;Условия для опции подписи "PMPLAN67"&lt;/DESCRIPTION&gt;&lt;EXPRESSION&gt;&lt;![CDATA[(select namerab1 from masterpm where masterpmnum=:masterpm)='090000070901']]&gt;&lt;/EXPRESSION&gt;&lt;TYPE&gt;ВЫРАЖЕНИЕ&lt;/TYPE&gt;&lt;/CONDITION&gt;</v>
      </c>
    </row>
    <row r="69" spans="1:16" ht="30">
      <c r="A69" s="22" t="s">
        <v>308</v>
      </c>
      <c r="B69" s="22" t="s">
        <v>309</v>
      </c>
      <c r="C69" s="23" t="s">
        <v>299</v>
      </c>
      <c r="D69" s="6" t="s">
        <v>402</v>
      </c>
      <c r="E69" s="65" t="s">
        <v>484</v>
      </c>
      <c r="F69" s="71">
        <v>10001000006</v>
      </c>
      <c r="G69" s="6" t="str">
        <f t="shared" si="10"/>
        <v>gppr_p_70902</v>
      </c>
      <c r="I69" t="str">
        <f t="shared" si="11"/>
        <v>&lt;CLASSSTRUCTURE&gt;&lt;CLASSIFICATIONID&gt;gppr_p_70902&lt;/CLASSIFICATIONID&gt;&lt;CLASSSTRUCTUREID&gt;090000070902&lt;/CLASSSTRUCTUREID&gt;&lt;DESCRIPTION&gt;Адресный план выполнения работ по оздоровлению станционных путей 4, 5 классов. Смена рельсов старогодными&lt;/DESCRIPTION&gt;&lt;PARENT&gt;010001000006&lt;/PARENT&gt;&lt;/CLASSSTRUCTURE&gt;</v>
      </c>
      <c r="J69" s="36" t="s">
        <v>578</v>
      </c>
      <c r="K69" s="1" t="str">
        <f t="shared" si="12"/>
        <v>(select namerab1 from masterpm where masterpmnum=:masterpm)='090000070902'</v>
      </c>
      <c r="L69" s="36" t="s">
        <v>578</v>
      </c>
      <c r="M69" t="str">
        <f t="shared" si="9"/>
        <v xml:space="preserve"> &lt;APPLICATIONAUTH&gt;&lt;APP&gt;MASTERPM&lt;/APP&gt;&lt;CONDITIONNUM&gt;PMPLAN68&lt;/CONDITIONNUM&gt;&lt;GROUPNAME&gt;SL_P&lt;/GROUPNAME&gt;&lt;OPTIONNAME&gt;PMPLAN68&lt;/OPTIONNAME&gt;&lt;/APPLICATIONAUTH&gt;</v>
      </c>
      <c r="N69" s="61" t="s">
        <v>578</v>
      </c>
      <c r="P69" s="1" t="str">
        <f t="shared" si="13"/>
        <v>&lt;CONDITION&gt;&lt;CLASSNAME/&gt;&lt;CONDITIONNUM&gt;PMPLAN68&lt;/CONDITIONNUM&gt;&lt;DESCRIPTION&gt;Условия для опции подписи "PMPLAN68"&lt;/DESCRIPTION&gt;&lt;EXPRESSION&gt;&lt;![CDATA[(select namerab1 from masterpm where masterpmnum=:masterpm)='090000070902']]&gt;&lt;/EXPRESSION&gt;&lt;TYPE&gt;ВЫРАЖЕНИЕ&lt;/TYPE&gt;&lt;/CONDITION&gt;</v>
      </c>
    </row>
    <row r="70" spans="1:16" ht="30">
      <c r="A70" s="22" t="s">
        <v>310</v>
      </c>
      <c r="B70" s="22" t="s">
        <v>311</v>
      </c>
      <c r="C70" s="23" t="s">
        <v>300</v>
      </c>
      <c r="D70" s="6" t="s">
        <v>403</v>
      </c>
      <c r="E70" s="65" t="s">
        <v>485</v>
      </c>
      <c r="F70" s="71">
        <v>10001000006</v>
      </c>
      <c r="G70" s="6" t="str">
        <f t="shared" si="10"/>
        <v>gppr_p_70903</v>
      </c>
      <c r="I70" t="str">
        <f t="shared" si="11"/>
        <v>&lt;CLASSSTRUCTURE&gt;&lt;CLASSIFICATIONID&gt;gppr_p_70903&lt;/CLASSIFICATIONID&gt;&lt;CLASSSTRUCTUREID&gt;090000070903&lt;/CLASSSTRUCTUREID&gt;&lt;DESCRIPTION&gt;Адресный план выполнения работ по оздоровлению станционных путей 4, 5 классов. Одиночная смена деревянных шпал&lt;/DESCRIPTION&gt;&lt;PARENT&gt;010001000006&lt;/PARENT&gt;&lt;/CLASSSTRUCTURE&gt;</v>
      </c>
      <c r="J70" s="36" t="s">
        <v>578</v>
      </c>
      <c r="K70" s="1" t="str">
        <f t="shared" si="12"/>
        <v>(select namerab1 from masterpm where masterpmnum=:masterpm)='090000070903'</v>
      </c>
      <c r="L70" s="36" t="s">
        <v>578</v>
      </c>
      <c r="M70" t="str">
        <f t="shared" si="9"/>
        <v xml:space="preserve"> &lt;APPLICATIONAUTH&gt;&lt;APP&gt;MASTERPM&lt;/APP&gt;&lt;CONDITIONNUM&gt;PMPLAN69&lt;/CONDITIONNUM&gt;&lt;GROUPNAME&gt;SL_P&lt;/GROUPNAME&gt;&lt;OPTIONNAME&gt;PMPLAN69&lt;/OPTIONNAME&gt;&lt;/APPLICATIONAUTH&gt;</v>
      </c>
      <c r="N70" s="61" t="s">
        <v>578</v>
      </c>
      <c r="P70" s="1" t="str">
        <f t="shared" si="13"/>
        <v>&lt;CONDITION&gt;&lt;CLASSNAME/&gt;&lt;CONDITIONNUM&gt;PMPLAN69&lt;/CONDITIONNUM&gt;&lt;DESCRIPTION&gt;Условия для опции подписи "PMPLAN69"&lt;/DESCRIPTION&gt;&lt;EXPRESSION&gt;&lt;![CDATA[(select namerab1 from masterpm where masterpmnum=:masterpm)='090000070903']]&gt;&lt;/EXPRESSION&gt;&lt;TYPE&gt;ВЫРАЖЕНИЕ&lt;/TYPE&gt;&lt;/CONDITION&gt;</v>
      </c>
    </row>
    <row r="71" spans="1:16" ht="30">
      <c r="A71" s="22" t="s">
        <v>312</v>
      </c>
      <c r="B71" s="22" t="s">
        <v>313</v>
      </c>
      <c r="C71" s="23" t="s">
        <v>301</v>
      </c>
      <c r="D71" s="6" t="s">
        <v>404</v>
      </c>
      <c r="E71" s="65" t="s">
        <v>486</v>
      </c>
      <c r="F71" s="71">
        <v>10001000006</v>
      </c>
      <c r="G71" s="6" t="str">
        <f t="shared" si="10"/>
        <v>gppr_p_70904</v>
      </c>
      <c r="I71" t="str">
        <f>"&lt;CLASSSTRUCTURE&gt;&lt;CLASSIFICATIONID&gt;"&amp;G71&amp;"&lt;/CLASSIFICATIONID&gt;&lt;CLASSSTRUCTUREID&gt;"&amp;E71&amp;"&lt;/CLASSSTRUCTUREID&gt;&lt;DESCRIPTION&gt;"&amp;B71&amp;"&lt;/DESCRIPTION&gt;&lt;PARENT&gt;0"&amp;F71&amp;"&lt;/PARENT&gt;&lt;/CLASSSTRUCTURE&gt;"</f>
        <v>&lt;CLASSSTRUCTURE&gt;&lt;CLASSIFICATIONID&gt;gppr_p_70904&lt;/CLASSIFICATIONID&gt;&lt;CLASSSTRUCTUREID&gt;090000070904&lt;/CLASSSTRUCTUREID&gt;&lt;DESCRIPTION&gt;Адресный план выполнения работ по оздоровлению станционных путей 4, 5 классов. Одиночная смена железобетонных шпал&lt;/DESCRIPTION&gt;&lt;PARENT&gt;010001000006&lt;/PARENT&gt;&lt;/CLASSSTRUCTURE&gt;</v>
      </c>
      <c r="J71" s="36" t="s">
        <v>578</v>
      </c>
      <c r="K71" s="1" t="str">
        <f t="shared" si="12"/>
        <v>(select namerab1 from masterpm where masterpmnum=:masterpm)='090000070904'</v>
      </c>
      <c r="L71" s="36" t="s">
        <v>578</v>
      </c>
      <c r="M71" t="str">
        <f t="shared" si="9"/>
        <v xml:space="preserve"> &lt;APPLICATIONAUTH&gt;&lt;APP&gt;MASTERPM&lt;/APP&gt;&lt;CONDITIONNUM&gt;PMPLAN70&lt;/CONDITIONNUM&gt;&lt;GROUPNAME&gt;SL_P&lt;/GROUPNAME&gt;&lt;OPTIONNAME&gt;PMPLAN70&lt;/OPTIONNAME&gt;&lt;/APPLICATIONAUTH&gt;</v>
      </c>
      <c r="N71" s="61" t="s">
        <v>578</v>
      </c>
      <c r="P71" s="1" t="str">
        <f>"&lt;CONDITION&gt;&lt;CLASSNAME/&gt;&lt;CONDITIONNUM&gt;"&amp;D71&amp;"&lt;/CONDITIONNUM&gt;&lt;DESCRIPTION&gt;Условия для опции подписи """&amp;D71&amp;"""&lt;/DESCRIPTION&gt;&lt;EXPRESSION&gt;&lt;![CDATA["&amp;K71&amp;"]]&gt;&lt;/EXPRESSION&gt;&lt;TYPE&gt;ВЫРАЖЕНИЕ&lt;/TYPE&gt;&lt;/CONDITION&gt;"</f>
        <v>&lt;CONDITION&gt;&lt;CLASSNAME/&gt;&lt;CONDITIONNUM&gt;PMPLAN70&lt;/CONDITIONNUM&gt;&lt;DESCRIPTION&gt;Условия для опции подписи "PMPLAN70"&lt;/DESCRIPTION&gt;&lt;EXPRESSION&gt;&lt;![CDATA[(select namerab1 from masterpm where masterpmnum=:masterpm)='090000070904']]&gt;&lt;/EXPRESSION&gt;&lt;TYPE&gt;ВЫРАЖЕНИЕ&lt;/TYPE&gt;&lt;/CONDITION&gt;</v>
      </c>
    </row>
    <row r="72" spans="1:16" ht="30">
      <c r="A72" s="22" t="s">
        <v>314</v>
      </c>
      <c r="B72" s="22" t="s">
        <v>315</v>
      </c>
      <c r="C72" s="23" t="s">
        <v>302</v>
      </c>
      <c r="D72" s="6" t="s">
        <v>405</v>
      </c>
      <c r="E72" s="65" t="s">
        <v>488</v>
      </c>
      <c r="F72" s="71">
        <v>10001000006</v>
      </c>
      <c r="G72" s="6" t="str">
        <f t="shared" si="10"/>
        <v>gppr_p_70905</v>
      </c>
      <c r="I72" t="str">
        <f t="shared" si="11"/>
        <v>&lt;CLASSSTRUCTURE&gt;&lt;CLASSIFICATIONID&gt;gppr_p_70905&lt;/CLASSIFICATIONID&gt;&lt;CLASSSTRUCTUREID&gt;090000070905&lt;/CLASSSTRUCTUREID&gt;&lt;DESCRIPTION&gt;Адресный план выполнения работ по оздоровлению станционных путей 4, 5 классов. Планово-предупредительная выправка пути комплексами машин&lt;/DESCRIPTION&gt;&lt;PARENT&gt;010001000006&lt;/PARENT&gt;&lt;/CLASSSTRUCTURE&gt;</v>
      </c>
      <c r="J72" s="36" t="s">
        <v>578</v>
      </c>
      <c r="K72" s="1" t="str">
        <f t="shared" si="12"/>
        <v>(select namerab1 from masterpm where masterpmnum=:masterpm)='090000070905'</v>
      </c>
      <c r="L72" s="36" t="s">
        <v>578</v>
      </c>
      <c r="M72" t="str">
        <f t="shared" si="9"/>
        <v xml:space="preserve"> &lt;APPLICATIONAUTH&gt;&lt;APP&gt;MASTERPM&lt;/APP&gt;&lt;CONDITIONNUM&gt;PMPLAN71&lt;/CONDITIONNUM&gt;&lt;GROUPNAME&gt;SL_P&lt;/GROUPNAME&gt;&lt;OPTIONNAME&gt;PMPLAN71&lt;/OPTIONNAME&gt;&lt;/APPLICATIONAUTH&gt;</v>
      </c>
      <c r="N72" s="61" t="s">
        <v>578</v>
      </c>
      <c r="P72" s="1" t="str">
        <f t="shared" si="13"/>
        <v>&lt;CONDITION&gt;&lt;CLASSNAME/&gt;&lt;CONDITIONNUM&gt;PMPLAN71&lt;/CONDITIONNUM&gt;&lt;DESCRIPTION&gt;Условия для опции подписи "PMPLAN71"&lt;/DESCRIPTION&gt;&lt;EXPRESSION&gt;&lt;![CDATA[(select namerab1 from masterpm where masterpmnum=:masterpm)='090000070905']]&gt;&lt;/EXPRESSION&gt;&lt;TYPE&gt;ВЫРАЖЕНИЕ&lt;/TYPE&gt;&lt;/CONDITION&gt;</v>
      </c>
    </row>
    <row r="73" spans="1:16" ht="30">
      <c r="A73" s="22" t="s">
        <v>316</v>
      </c>
      <c r="B73" s="22" t="s">
        <v>317</v>
      </c>
      <c r="C73" s="23" t="s">
        <v>303</v>
      </c>
      <c r="D73" s="6" t="s">
        <v>406</v>
      </c>
      <c r="E73" s="65" t="s">
        <v>487</v>
      </c>
      <c r="F73" s="71">
        <v>10001000006</v>
      </c>
      <c r="G73" s="6" t="str">
        <f t="shared" si="10"/>
        <v>gppr_p_70906</v>
      </c>
      <c r="I73" t="str">
        <f t="shared" si="11"/>
        <v>&lt;CLASSSTRUCTURE&gt;&lt;CLASSIFICATIONID&gt;gppr_p_70906&lt;/CLASSIFICATIONID&gt;&lt;CLASSSTRUCTUREID&gt;090000070906&lt;/CLASSSTRUCTUREID&gt;&lt;DESCRIPTION&gt;Адресный план выполнения работ по оздоровлению станционных путей 4, 5 классов. Выправка пути одиночными машинами&lt;/DESCRIPTION&gt;&lt;PARENT&gt;010001000006&lt;/PARENT&gt;&lt;/CLASSSTRUCTURE&gt;</v>
      </c>
      <c r="J73" s="36" t="s">
        <v>578</v>
      </c>
      <c r="K73" s="1" t="str">
        <f t="shared" si="12"/>
        <v>(select namerab1 from masterpm where masterpmnum=:masterpm)='090000070906'</v>
      </c>
      <c r="L73" s="36" t="s">
        <v>578</v>
      </c>
      <c r="M73" t="str">
        <f t="shared" si="9"/>
        <v xml:space="preserve"> &lt;APPLICATIONAUTH&gt;&lt;APP&gt;MASTERPM&lt;/APP&gt;&lt;CONDITIONNUM&gt;PMPLAN72&lt;/CONDITIONNUM&gt;&lt;GROUPNAME&gt;SL_P&lt;/GROUPNAME&gt;&lt;OPTIONNAME&gt;PMPLAN72&lt;/OPTIONNAME&gt;&lt;/APPLICATIONAUTH&gt;</v>
      </c>
      <c r="N73" s="61" t="s">
        <v>578</v>
      </c>
      <c r="P73" s="1" t="str">
        <f t="shared" si="13"/>
        <v>&lt;CONDITION&gt;&lt;CLASSNAME/&gt;&lt;CONDITIONNUM&gt;PMPLAN72&lt;/CONDITIONNUM&gt;&lt;DESCRIPTION&gt;Условия для опции подписи "PMPLAN72"&lt;/DESCRIPTION&gt;&lt;EXPRESSION&gt;&lt;![CDATA[(select namerab1 from masterpm where masterpmnum=:masterpm)='090000070906']]&gt;&lt;/EXPRESSION&gt;&lt;TYPE&gt;ВЫРАЖЕНИЕ&lt;/TYPE&gt;&lt;/CONDITION&gt;</v>
      </c>
    </row>
    <row r="74" spans="1:16" ht="30">
      <c r="A74" s="22" t="s">
        <v>318</v>
      </c>
      <c r="B74" s="22" t="s">
        <v>319</v>
      </c>
      <c r="C74" s="23" t="s">
        <v>304</v>
      </c>
      <c r="D74" s="6" t="s">
        <v>407</v>
      </c>
      <c r="E74" s="65" t="s">
        <v>489</v>
      </c>
      <c r="F74" s="71">
        <v>10001000006</v>
      </c>
      <c r="G74" s="6" t="str">
        <f t="shared" si="10"/>
        <v>gppr_p_70907</v>
      </c>
      <c r="I74" t="str">
        <f t="shared" si="11"/>
        <v>&lt;CLASSSTRUCTURE&gt;&lt;CLASSIFICATIONID&gt;gppr_p_70907&lt;/CLASSIFICATIONID&gt;&lt;CLASSSTRUCTUREID&gt;090000070907&lt;/CLASSSTRUCTUREID&gt;&lt;DESCRIPTION&gt;Адресный план выполнения работ по оздоровлению станционных путей 4, 5 классов. Устранение локальных выплесков путевыми машинами&lt;/DESCRIPTION&gt;&lt;PARENT&gt;010001000006&lt;/PARENT&gt;&lt;/CLASSSTRUCTURE&gt;</v>
      </c>
      <c r="J74" s="36" t="s">
        <v>578</v>
      </c>
      <c r="K74" s="1" t="str">
        <f t="shared" si="12"/>
        <v>(select namerab1 from masterpm where masterpmnum=:masterpm)='090000070907'</v>
      </c>
      <c r="L74" s="36" t="s">
        <v>578</v>
      </c>
      <c r="M74" t="str">
        <f t="shared" si="9"/>
        <v xml:space="preserve"> &lt;APPLICATIONAUTH&gt;&lt;APP&gt;MASTERPM&lt;/APP&gt;&lt;CONDITIONNUM&gt;PMPLAN73&lt;/CONDITIONNUM&gt;&lt;GROUPNAME&gt;SL_P&lt;/GROUPNAME&gt;&lt;OPTIONNAME&gt;PMPLAN73&lt;/OPTIONNAME&gt;&lt;/APPLICATIONAUTH&gt;</v>
      </c>
      <c r="N74" s="61" t="s">
        <v>578</v>
      </c>
      <c r="P74" s="1" t="str">
        <f t="shared" si="13"/>
        <v>&lt;CONDITION&gt;&lt;CLASSNAME/&gt;&lt;CONDITIONNUM&gt;PMPLAN73&lt;/CONDITIONNUM&gt;&lt;DESCRIPTION&gt;Условия для опции подписи "PMPLAN73"&lt;/DESCRIPTION&gt;&lt;EXPRESSION&gt;&lt;![CDATA[(select namerab1 from masterpm where masterpmnum=:masterpm)='090000070907']]&gt;&lt;/EXPRESSION&gt;&lt;TYPE&gt;ВЫРАЖЕНИЕ&lt;/TYPE&gt;&lt;/CONDITION&gt;</v>
      </c>
    </row>
    <row r="75" spans="1:16" ht="30">
      <c r="A75" s="22" t="s">
        <v>320</v>
      </c>
      <c r="B75" s="22" t="s">
        <v>323</v>
      </c>
      <c r="C75" s="23" t="s">
        <v>321</v>
      </c>
      <c r="D75" s="6" t="s">
        <v>408</v>
      </c>
      <c r="E75" s="65" t="s">
        <v>490</v>
      </c>
      <c r="F75" s="71">
        <v>10001000006</v>
      </c>
      <c r="G75" s="6" t="str">
        <f t="shared" si="10"/>
        <v>gppr_p_70908</v>
      </c>
      <c r="I75" t="str">
        <f t="shared" si="11"/>
        <v>&lt;CLASSSTRUCTURE&gt;&lt;CLASSIFICATIONID&gt;gppr_p_70908&lt;/CLASSIFICATIONID&gt;&lt;CLASSSTRUCTUREID&gt;090000070908&lt;/CLASSSTRUCTUREID&gt;&lt;DESCRIPTION&gt;Адресный план выполнения работ по оздоровлению станционных путей 4, 5 классов. Выправка профилей путей&lt;/DESCRIPTION&gt;&lt;PARENT&gt;010001000006&lt;/PARENT&gt;&lt;/CLASSSTRUCTURE&gt;</v>
      </c>
      <c r="J75" s="36" t="s">
        <v>578</v>
      </c>
      <c r="K75" s="1" t="str">
        <f t="shared" si="12"/>
        <v>(select namerab1 from masterpm where masterpmnum=:masterpm)='090000070908'</v>
      </c>
      <c r="L75" s="36" t="s">
        <v>578</v>
      </c>
      <c r="M75" t="str">
        <f t="shared" si="9"/>
        <v xml:space="preserve"> &lt;APPLICATIONAUTH&gt;&lt;APP&gt;MASTERPM&lt;/APP&gt;&lt;CONDITIONNUM&gt;PMPLAN74&lt;/CONDITIONNUM&gt;&lt;GROUPNAME&gt;SL_P&lt;/GROUPNAME&gt;&lt;OPTIONNAME&gt;PMPLAN74&lt;/OPTIONNAME&gt;&lt;/APPLICATIONAUTH&gt;</v>
      </c>
      <c r="N75" s="61" t="s">
        <v>578</v>
      </c>
      <c r="P75" s="1" t="str">
        <f t="shared" si="13"/>
        <v>&lt;CONDITION&gt;&lt;CLASSNAME/&gt;&lt;CONDITIONNUM&gt;PMPLAN74&lt;/CONDITIONNUM&gt;&lt;DESCRIPTION&gt;Условия для опции подписи "PMPLAN74"&lt;/DESCRIPTION&gt;&lt;EXPRESSION&gt;&lt;![CDATA[(select namerab1 from masterpm where masterpmnum=:masterpm)='090000070908']]&gt;&lt;/EXPRESSION&gt;&lt;TYPE&gt;ВЫРАЖЕНИЕ&lt;/TYPE&gt;&lt;/CONDITION&gt;</v>
      </c>
    </row>
    <row r="76" spans="1:16" ht="30">
      <c r="A76" s="23" t="s">
        <v>324</v>
      </c>
      <c r="B76" s="22" t="s">
        <v>325</v>
      </c>
      <c r="C76" s="23" t="s">
        <v>322</v>
      </c>
      <c r="D76" s="6" t="s">
        <v>409</v>
      </c>
      <c r="E76" s="65" t="s">
        <v>491</v>
      </c>
      <c r="F76" s="71">
        <v>10001000006</v>
      </c>
      <c r="G76" s="6" t="str">
        <f t="shared" si="10"/>
        <v>gppr_p_70909</v>
      </c>
      <c r="I76" t="str">
        <f t="shared" si="11"/>
        <v>&lt;CLASSSTRUCTURE&gt;&lt;CLASSIFICATIONID&gt;gppr_p_70909&lt;/CLASSIFICATIONID&gt;&lt;CLASSSTRUCTUREID&gt;090000070909&lt;/CLASSSTRUCTUREID&gt;&lt;DESCRIPTION&gt;Адресный план выполнения работ по оздоровлению станционных путей 4, 5 классов. Ремонт водоотводов&lt;/DESCRIPTION&gt;&lt;PARENT&gt;010001000006&lt;/PARENT&gt;&lt;/CLASSSTRUCTURE&gt;</v>
      </c>
      <c r="J76" s="36" t="s">
        <v>578</v>
      </c>
      <c r="K76" s="1" t="str">
        <f t="shared" si="12"/>
        <v>(select namerab1 from masterpm where masterpmnum=:masterpm)='090000070909'</v>
      </c>
      <c r="L76" s="36" t="s">
        <v>578</v>
      </c>
      <c r="M76" t="str">
        <f t="shared" si="9"/>
        <v xml:space="preserve"> &lt;APPLICATIONAUTH&gt;&lt;APP&gt;MASTERPM&lt;/APP&gt;&lt;CONDITIONNUM&gt;PMPLAN75&lt;/CONDITIONNUM&gt;&lt;GROUPNAME&gt;SL_P&lt;/GROUPNAME&gt;&lt;OPTIONNAME&gt;PMPLAN75&lt;/OPTIONNAME&gt;&lt;/APPLICATIONAUTH&gt;</v>
      </c>
      <c r="N76" s="61" t="s">
        <v>578</v>
      </c>
      <c r="P76" s="1" t="str">
        <f t="shared" si="13"/>
        <v>&lt;CONDITION&gt;&lt;CLASSNAME/&gt;&lt;CONDITIONNUM&gt;PMPLAN75&lt;/CONDITIONNUM&gt;&lt;DESCRIPTION&gt;Условия для опции подписи "PMPLAN75"&lt;/DESCRIPTION&gt;&lt;EXPRESSION&gt;&lt;![CDATA[(select namerab1 from masterpm where masterpmnum=:masterpm)='090000070909']]&gt;&lt;/EXPRESSION&gt;&lt;TYPE&gt;ВЫРАЖЕНИЕ&lt;/TYPE&gt;&lt;/CONDITION&gt;</v>
      </c>
    </row>
    <row r="77" spans="1:16" ht="30">
      <c r="A77" s="22" t="s">
        <v>326</v>
      </c>
      <c r="B77" s="22" t="s">
        <v>162</v>
      </c>
      <c r="C77" s="24" t="s">
        <v>148</v>
      </c>
      <c r="D77" s="6" t="s">
        <v>410</v>
      </c>
      <c r="E77" s="65" t="s">
        <v>493</v>
      </c>
      <c r="F77" s="71">
        <v>10001000006</v>
      </c>
      <c r="G77" s="6" t="str">
        <f t="shared" si="10"/>
        <v>gppr_p_87800</v>
      </c>
      <c r="I77" t="str">
        <f t="shared" si="11"/>
        <v>&lt;CLASSSTRUCTURE&gt;&lt;CLASSIFICATIONID&gt;gppr_p_87800&lt;/CLASSIFICATIONID&gt;&lt;CLASSSTRUCTUREID&gt;090000087800&lt;/CLASSSTRUCTUREID&gt;&lt;DESCRIPTION&gt;Адресный план работ по обеспечению противопожарной безопасности в полосе отвода&lt;/DESCRIPTION&gt;&lt;PARENT&gt;010001000006&lt;/PARENT&gt;&lt;/CLASSSTRUCTURE&gt;</v>
      </c>
      <c r="J77" s="36" t="s">
        <v>578</v>
      </c>
      <c r="K77" s="1" t="str">
        <f>"(select namerab1 from masterpm where masterpmnum=:masterpm)='"&amp;E77&amp;"'"</f>
        <v>(select namerab1 from masterpm where masterpmnum=:masterpm)='090000087800'</v>
      </c>
      <c r="L77" s="36" t="s">
        <v>578</v>
      </c>
      <c r="M77" t="str">
        <f t="shared" si="9"/>
        <v xml:space="preserve"> &lt;APPLICATIONAUTH&gt;&lt;APP&gt;MASTERPM&lt;/APP&gt;&lt;CONDITIONNUM&gt;PMPLAN76&lt;/CONDITIONNUM&gt;&lt;GROUPNAME&gt;SL_P&lt;/GROUPNAME&gt;&lt;OPTIONNAME&gt;PMPLAN76&lt;/OPTIONNAME&gt;&lt;/APPLICATIONAUTH&gt;</v>
      </c>
      <c r="N77" s="61" t="s">
        <v>578</v>
      </c>
      <c r="P77" s="1" t="str">
        <f t="shared" si="13"/>
        <v>&lt;CONDITION&gt;&lt;CLASSNAME/&gt;&lt;CONDITIONNUM&gt;PMPLAN76&lt;/CONDITIONNUM&gt;&lt;DESCRIPTION&gt;Условия для опции подписи "PMPLAN76"&lt;/DESCRIPTION&gt;&lt;EXPRESSION&gt;&lt;![CDATA[(select namerab1 from masterpm where masterpmnum=:masterpm)='090000087800']]&gt;&lt;/EXPRESSION&gt;&lt;TYPE&gt;ВЫРАЖЕНИЕ&lt;/TYPE&gt;&lt;/CONDITION&gt;</v>
      </c>
    </row>
    <row r="78" spans="1:16" ht="45">
      <c r="A78" s="22" t="s">
        <v>327</v>
      </c>
      <c r="B78" s="22" t="s">
        <v>327</v>
      </c>
      <c r="C78" s="22" t="s">
        <v>328</v>
      </c>
      <c r="D78" s="6" t="s">
        <v>411</v>
      </c>
      <c r="E78" s="65" t="s">
        <v>494</v>
      </c>
      <c r="F78" s="71">
        <v>10001000006</v>
      </c>
      <c r="G78" s="6" t="str">
        <f t="shared" si="10"/>
        <v>gppr_p_87801</v>
      </c>
      <c r="I78"/>
      <c r="J78" s="36"/>
      <c r="L78" s="36"/>
      <c r="M78"/>
      <c r="N78" s="61" t="s">
        <v>578</v>
      </c>
    </row>
    <row r="79" spans="1:16" ht="30">
      <c r="A79" s="22" t="s">
        <v>329</v>
      </c>
      <c r="B79" s="22" t="s">
        <v>329</v>
      </c>
      <c r="C79" s="22" t="s">
        <v>328</v>
      </c>
      <c r="D79" s="6" t="s">
        <v>412</v>
      </c>
      <c r="E79" s="65" t="s">
        <v>495</v>
      </c>
      <c r="F79" s="71">
        <v>10001000006</v>
      </c>
      <c r="G79" s="6" t="str">
        <f t="shared" si="10"/>
        <v>gppr_p_87802</v>
      </c>
      <c r="I79"/>
      <c r="J79" s="36"/>
      <c r="L79" s="36"/>
      <c r="M79"/>
      <c r="N79" s="61" t="s">
        <v>578</v>
      </c>
    </row>
    <row r="80" spans="1:16" ht="30">
      <c r="A80" s="22" t="s">
        <v>330</v>
      </c>
      <c r="B80" s="22" t="s">
        <v>330</v>
      </c>
      <c r="C80" s="22" t="s">
        <v>328</v>
      </c>
      <c r="D80" s="6" t="s">
        <v>413</v>
      </c>
      <c r="E80" s="65" t="s">
        <v>496</v>
      </c>
      <c r="F80" s="71">
        <v>10001000006</v>
      </c>
      <c r="G80" s="6" t="str">
        <f t="shared" si="10"/>
        <v>gppr_p_87803</v>
      </c>
      <c r="I80"/>
      <c r="J80" s="36"/>
      <c r="L80" s="36"/>
      <c r="M80"/>
      <c r="N80" s="61" t="s">
        <v>578</v>
      </c>
    </row>
    <row r="81" spans="1:16" ht="45">
      <c r="A81" s="22" t="s">
        <v>331</v>
      </c>
      <c r="B81" s="22" t="s">
        <v>331</v>
      </c>
      <c r="C81" s="22" t="s">
        <v>328</v>
      </c>
      <c r="D81" s="6" t="s">
        <v>414</v>
      </c>
      <c r="E81" s="65" t="s">
        <v>497</v>
      </c>
      <c r="F81" s="71">
        <v>10001000006</v>
      </c>
      <c r="G81" s="6" t="str">
        <f t="shared" si="10"/>
        <v>gppr_p_87804</v>
      </c>
      <c r="I81"/>
      <c r="J81" s="36"/>
      <c r="L81" s="36"/>
      <c r="M81"/>
      <c r="N81" s="61" t="s">
        <v>578</v>
      </c>
    </row>
    <row r="82" spans="1:16" ht="30">
      <c r="A82" s="22" t="s">
        <v>332</v>
      </c>
      <c r="B82" s="22" t="s">
        <v>332</v>
      </c>
      <c r="C82" s="22" t="s">
        <v>328</v>
      </c>
      <c r="D82" s="6" t="s">
        <v>415</v>
      </c>
      <c r="E82" s="65" t="s">
        <v>498</v>
      </c>
      <c r="F82" s="71">
        <v>10001000006</v>
      </c>
      <c r="G82" s="6" t="str">
        <f t="shared" si="10"/>
        <v>gppr_p_87805</v>
      </c>
      <c r="I82"/>
      <c r="J82" s="36"/>
      <c r="L82" s="36"/>
      <c r="M82"/>
      <c r="N82" s="61" t="s">
        <v>578</v>
      </c>
    </row>
    <row r="83" spans="1:16" ht="30">
      <c r="A83" s="22" t="s">
        <v>333</v>
      </c>
      <c r="B83" s="22" t="s">
        <v>333</v>
      </c>
      <c r="C83" s="22" t="s">
        <v>328</v>
      </c>
      <c r="D83" s="6" t="s">
        <v>416</v>
      </c>
      <c r="E83" s="65" t="s">
        <v>499</v>
      </c>
      <c r="F83" s="71">
        <v>10001000006</v>
      </c>
      <c r="G83" s="6" t="str">
        <f t="shared" si="10"/>
        <v>gppr_p_87806</v>
      </c>
      <c r="I83"/>
      <c r="J83" s="36"/>
      <c r="L83" s="36"/>
      <c r="M83"/>
      <c r="N83" s="61" t="s">
        <v>578</v>
      </c>
    </row>
    <row r="84" spans="1:16" ht="30">
      <c r="A84" s="83"/>
      <c r="B84" s="84" t="s">
        <v>585</v>
      </c>
      <c r="C84" s="75"/>
      <c r="D84" s="75" t="s">
        <v>586</v>
      </c>
      <c r="E84" s="65" t="str">
        <f>"090000087807"</f>
        <v>090000087807</v>
      </c>
      <c r="F84" s="76">
        <v>10001000006</v>
      </c>
      <c r="G84" s="75" t="str">
        <f t="shared" si="10"/>
        <v>gppr_p_87807</v>
      </c>
      <c r="I84" t="str">
        <f>"&lt;CLASSSTRUCTURE&gt;&lt;CLASSIFICATIONID&gt;"&amp;G84&amp;"&lt;/CLASSIFICATIONID&gt;&lt;CLASSSTRUCTUREID&gt;0"&amp;E84&amp;"&lt;/CLASSSTRUCTUREID&gt;&lt;DESCRIPTION&gt;"&amp;B84&amp;"&lt;/DESCRIPTION&gt;&lt;PARENT&gt;0"&amp;F84&amp;"&lt;/PARENT&gt;&lt;/CLASSSTRUCTURE&gt;"</f>
        <v>&lt;CLASSSTRUCTURE&gt;&lt;CLASSIFICATIONID&gt;gppr_p_87807&lt;/CLASSIFICATIONID&gt;&lt;CLASSSTRUCTUREID&gt;0090000087807&lt;/CLASSSTRUCTUREID&gt;&lt;DESCRIPTION&gt;Адресный план профилактических мероприятий, направленных на повышение надежности работы рельсовых путей. Укладка бесстыкового пути&lt;/DESCRIPTION&gt;&lt;PARENT&gt;010001000006&lt;/PARENT&gt;&lt;/CLASSSTRUCTURE&gt;</v>
      </c>
      <c r="J84" s="36" t="s">
        <v>578</v>
      </c>
      <c r="K84" s="1" t="str">
        <f>"(select namerab1 from masterpm where masterpmnum=:masterpm)='"&amp;E84&amp;"'"</f>
        <v>(select namerab1 from masterpm where masterpmnum=:masterpm)='090000087807'</v>
      </c>
      <c r="L84" s="36" t="s">
        <v>578</v>
      </c>
      <c r="M84" t="str">
        <f t="shared" ref="M84:M86" si="14">" &lt;APPLICATIONAUTH&gt;&lt;APP&gt;MASTERPM&lt;/APP&gt;&lt;CONDITIONNUM&gt;"&amp;D84&amp;"&lt;/CONDITIONNUM&gt;&lt;GROUPNAME&gt;SL_P&lt;/GROUPNAME&gt;&lt;OPTIONNAME&gt;"&amp;D84&amp;"&lt;/OPTIONNAME&gt;&lt;/APPLICATIONAUTH&gt;"</f>
        <v xml:space="preserve"> &lt;APPLICATIONAUTH&gt;&lt;APP&gt;MASTERPM&lt;/APP&gt;&lt;CONDITIONNUM&gt;PMPLAN83&lt;/CONDITIONNUM&gt;&lt;GROUPNAME&gt;SL_P&lt;/GROUPNAME&gt;&lt;OPTIONNAME&gt;PMPLAN83&lt;/OPTIONNAME&gt;&lt;/APPLICATIONAUTH&gt;</v>
      </c>
      <c r="N84" s="61" t="s">
        <v>578</v>
      </c>
      <c r="P84" s="1" t="str">
        <f>"&lt;CONDITION&gt;&lt;CLASSNAME/&gt;&lt;CONDITIONNUM&gt;"&amp;D84&amp;"&lt;/CONDITIONNUM&gt;&lt;DESCRIPTION&gt;Условия для опции подписи """&amp;D84&amp;"""&lt;/DESCRIPTION&gt;&lt;EXPRESSION&gt;&lt;![CDATA["&amp;K84&amp;"]]&gt;&lt;/EXPRESSION&gt;&lt;TYPE&gt;ВЫРАЖЕНИЕ&lt;/TYPE&gt;&lt;/CONDITION&gt;"</f>
        <v>&lt;CONDITION&gt;&lt;CLASSNAME/&gt;&lt;CONDITIONNUM&gt;PMPLAN83&lt;/CONDITIONNUM&gt;&lt;DESCRIPTION&gt;Условия для опции подписи "PMPLAN83"&lt;/DESCRIPTION&gt;&lt;EXPRESSION&gt;&lt;![CDATA[(select namerab1 from masterpm where masterpmnum=:masterpm)='090000087807']]&gt;&lt;/EXPRESSION&gt;&lt;TYPE&gt;ВЫРАЖЕНИЕ&lt;/TYPE&gt;&lt;/CONDITION&gt;</v>
      </c>
    </row>
    <row r="85" spans="1:16" ht="97.5" customHeight="1">
      <c r="A85" s="85" t="s">
        <v>600</v>
      </c>
      <c r="B85" s="85" t="s">
        <v>598</v>
      </c>
      <c r="C85" s="6" t="s">
        <v>599</v>
      </c>
      <c r="D85" s="75" t="s">
        <v>597</v>
      </c>
      <c r="E85" s="42" t="s">
        <v>596</v>
      </c>
      <c r="F85" s="76">
        <v>10001000006</v>
      </c>
      <c r="G85" s="75" t="str">
        <f t="shared" si="10"/>
        <v>gppr_p_70892</v>
      </c>
      <c r="I85" t="str">
        <f t="shared" ref="I85" si="15">"&lt;CLASSSTRUCTURE&gt;&lt;CLASSIFICATIONID&gt;"&amp;G85&amp;"&lt;/CLASSIFICATIONID&gt;&lt;CLASSSTRUCTUREID&gt;"&amp;E85&amp;"&lt;/CLASSSTRUCTUREID&gt;&lt;DESCRIPTION&gt;"&amp;B85&amp;"&lt;/DESCRIPTION&gt;&lt;PARENT&gt;0"&amp;F85&amp;"&lt;/PARENT&gt;&lt;/CLASSSTRUCTURE&gt;"</f>
        <v>&lt;CLASSSTRUCTURE&gt;&lt;CLASSIFICATIONID&gt;gppr_p_70892&lt;/CLASSIFICATIONID&gt;&lt;CLASSSTRUCTUREID&gt;090000070892&lt;/CLASSSTRUCTUREID&gt;&lt;DESCRIPTION&gt;Адресный план выполнения работ по оздоровлению станционных путей 4, 5 классов. Замена обыкновенных стрелочных переводов, лежащих в кривых участках пути, на сертифицированные стрелочные переводы типа Р65 марки 1/11 на деревянных или железобетонных брусьях, предназначенных для укладки в кривых радиусами 600 м и 900 м проектов 2802, 2851, 2878, 2901&lt;/DESCRIPTION&gt;&lt;PARENT&gt;010001000006&lt;/PARENT&gt;&lt;/CLASSSTRUCTURE&gt;</v>
      </c>
      <c r="J85" s="36" t="s">
        <v>578</v>
      </c>
      <c r="K85" s="1" t="str">
        <f>"(select namerab1 from masterpm where masterpmnum=:masterpm)='"&amp;E85&amp;"'"</f>
        <v>(select namerab1 from masterpm where masterpmnum=:masterpm)='090000070892'</v>
      </c>
      <c r="L85" s="36" t="s">
        <v>578</v>
      </c>
      <c r="M85" t="str">
        <f t="shared" si="14"/>
        <v xml:space="preserve"> &lt;APPLICATIONAUTH&gt;&lt;APP&gt;MASTERPM&lt;/APP&gt;&lt;CONDITIONNUM&gt;PMPLAN84&lt;/CONDITIONNUM&gt;&lt;GROUPNAME&gt;SL_P&lt;/GROUPNAME&gt;&lt;OPTIONNAME&gt;PMPLAN84&lt;/OPTIONNAME&gt;&lt;/APPLICATIONAUTH&gt;</v>
      </c>
      <c r="N85" s="61" t="s">
        <v>578</v>
      </c>
      <c r="P85" s="1" t="str">
        <f>"&lt;CONDITION&gt;&lt;CLASSNAME/&gt;&lt;CONDITIONNUM&gt;"&amp;D85&amp;"&lt;/CONDITIONNUM&gt;&lt;DESCRIPTION&gt;Условия для опции подписи """&amp;D85&amp;"""&lt;/DESCRIPTION&gt;&lt;EXPRESSION&gt;&lt;![CDATA["&amp;K85&amp;"]]&gt;&lt;/EXPRESSION&gt;&lt;TYPE&gt;ВЫРАЖЕНИЕ&lt;/TYPE&gt;&lt;/CONDITION&gt;"</f>
        <v>&lt;CONDITION&gt;&lt;CLASSNAME/&gt;&lt;CONDITIONNUM&gt;PMPLAN84&lt;/CONDITIONNUM&gt;&lt;DESCRIPTION&gt;Условия для опции подписи "PMPLAN84"&lt;/DESCRIPTION&gt;&lt;EXPRESSION&gt;&lt;![CDATA[(select namerab1 from masterpm where masterpmnum=:masterpm)='090000070892']]&gt;&lt;/EXPRESSION&gt;&lt;TYPE&gt;ВЫРАЖЕНИЕ&lt;/TYPE&gt;&lt;/CONDITION&gt;</v>
      </c>
    </row>
    <row r="86" spans="1:16">
      <c r="B86" s="86"/>
      <c r="D86" s="75"/>
      <c r="F86" s="76"/>
      <c r="G86" s="75"/>
      <c r="I86" t="str">
        <f>"&lt;CLASSSTRUCTURE&gt;&lt;CLASSIFICATIONID&gt;"&amp;G86&amp;"&lt;/CLASSIFICATIONID&gt;&lt;CLASSSTRUCTUREID&gt;0"&amp;E86&amp;"&lt;/CLASSSTRUCTUREID&gt;&lt;DESCRIPTION&gt;"&amp;B86&amp;"&lt;/DESCRIPTION&gt;&lt;PARENT&gt;0"&amp;F86&amp;"&lt;/PARENT&gt;&lt;/CLASSSTRUCTURE&gt;"</f>
        <v>&lt;CLASSSTRUCTURE&gt;&lt;CLASSIFICATIONID&gt;&lt;/CLASSIFICATIONID&gt;&lt;CLASSSTRUCTUREID&gt;0&lt;/CLASSSTRUCTUREID&gt;&lt;DESCRIPTION&gt;&lt;/DESCRIPTION&gt;&lt;PARENT&gt;0&lt;/PARENT&gt;&lt;/CLASSSTRUCTURE&gt;</v>
      </c>
      <c r="J86" s="36" t="s">
        <v>578</v>
      </c>
      <c r="K86" s="1" t="str">
        <f>"(select namerab1 from masterpm where masterpmnum=:masterpm)=0'"&amp;E86&amp;"'"</f>
        <v>(select namerab1 from masterpm where masterpmnum=:masterpm)=0''</v>
      </c>
      <c r="L86" s="36" t="s">
        <v>578</v>
      </c>
      <c r="M86" t="str">
        <f t="shared" si="14"/>
        <v xml:space="preserve"> &lt;APPLICATIONAUTH&gt;&lt;APP&gt;MASTERPM&lt;/APP&gt;&lt;CONDITIONNUM&gt;&lt;/CONDITIONNUM&gt;&lt;GROUPNAME&gt;SL_P&lt;/GROUPNAME&gt;&lt;OPTIONNAME&gt;&lt;/OPTIONNAME&gt;&lt;/APPLICATIONAUTH&gt;</v>
      </c>
      <c r="N86" s="61" t="s">
        <v>578</v>
      </c>
      <c r="P86" s="1" t="str">
        <f>"&lt;CONDITION&gt;&lt;CLASSNAME/&gt;&lt;CONDITIONNUM&gt;"&amp;D86&amp;"&lt;/CONDITIONNUM&gt;&lt;DESCRIPTION&gt;Условия для опции подписи """&amp;D86&amp;"""&lt;/DESCRIPTION&gt;&lt;EXPRESSION&gt;&lt;![CDATA["&amp;K86&amp;"]]&gt;&lt;/EXPRESSION&gt;&lt;TYPE&gt;ВЫРАЖЕНИЕ&lt;/TYPE&gt;&lt;/CONDITION&gt;"</f>
        <v>&lt;CONDITION&gt;&lt;CLASSNAME/&gt;&lt;CONDITIONNUM&gt;&lt;/CONDITIONNUM&gt;&lt;DESCRIPTION&gt;Условия для опции подписи ""&lt;/DESCRIPTION&gt;&lt;EXPRESSION&gt;&lt;![CDATA[(select namerab1 from masterpm where masterpmnum=:masterpm)=0'']]&gt;&lt;/EXPRESSION&gt;&lt;TYPE&gt;ВЫРАЖЕНИЕ&lt;/TYPE&gt;&lt;/CONDITION&gt;</v>
      </c>
    </row>
    <row r="87" spans="1:16">
      <c r="I87"/>
      <c r="J87"/>
      <c r="M87"/>
    </row>
    <row r="88" spans="1:16">
      <c r="I88"/>
      <c r="J88"/>
      <c r="M88"/>
    </row>
    <row r="89" spans="1:16">
      <c r="I89"/>
      <c r="J89"/>
      <c r="M89"/>
    </row>
    <row r="90" spans="1:16">
      <c r="E90" s="65">
        <v>90000087807</v>
      </c>
      <c r="I90"/>
      <c r="J90"/>
      <c r="M90"/>
    </row>
    <row r="91" spans="1:16">
      <c r="I91"/>
      <c r="J91"/>
      <c r="M91"/>
    </row>
    <row r="92" spans="1:16">
      <c r="I92"/>
      <c r="J92"/>
      <c r="M92"/>
    </row>
    <row r="93" spans="1:16">
      <c r="I93"/>
      <c r="J93"/>
      <c r="M93"/>
    </row>
    <row r="94" spans="1:16">
      <c r="I94"/>
      <c r="J94"/>
      <c r="M94"/>
    </row>
    <row r="95" spans="1:16">
      <c r="I95"/>
      <c r="J95"/>
      <c r="M95"/>
    </row>
    <row r="96" spans="1:16">
      <c r="I96"/>
      <c r="J96"/>
      <c r="M96"/>
    </row>
    <row r="97" spans="9:13">
      <c r="I97"/>
      <c r="J97"/>
      <c r="M97"/>
    </row>
    <row r="98" spans="9:13">
      <c r="I98"/>
      <c r="J98"/>
      <c r="M98"/>
    </row>
    <row r="99" spans="9:13">
      <c r="I99"/>
      <c r="J99"/>
      <c r="M99"/>
    </row>
    <row r="100" spans="9:13">
      <c r="I100"/>
      <c r="J100"/>
      <c r="M100"/>
    </row>
    <row r="101" spans="9:13">
      <c r="I101"/>
      <c r="J101"/>
      <c r="M101"/>
    </row>
    <row r="102" spans="9:13">
      <c r="I102"/>
      <c r="J102"/>
      <c r="M102"/>
    </row>
    <row r="103" spans="9:13">
      <c r="I103"/>
      <c r="J103"/>
      <c r="M103"/>
    </row>
    <row r="104" spans="9:13">
      <c r="I104"/>
      <c r="J104"/>
      <c r="M104"/>
    </row>
    <row r="105" spans="9:13">
      <c r="I105"/>
      <c r="J105"/>
      <c r="M105"/>
    </row>
    <row r="106" spans="9:13">
      <c r="I106"/>
      <c r="J106"/>
      <c r="M106"/>
    </row>
    <row r="107" spans="9:13">
      <c r="I107"/>
      <c r="J107"/>
      <c r="M107"/>
    </row>
    <row r="108" spans="9:13">
      <c r="I108"/>
      <c r="J108"/>
      <c r="M108"/>
    </row>
    <row r="109" spans="9:13">
      <c r="I109"/>
      <c r="J109"/>
      <c r="M10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L50"/>
  <sheetViews>
    <sheetView topLeftCell="A10" workbookViewId="0">
      <selection activeCell="I34" sqref="I34"/>
    </sheetView>
  </sheetViews>
  <sheetFormatPr defaultRowHeight="15"/>
  <cols>
    <col min="1" max="1" width="15.85546875" bestFit="1" customWidth="1"/>
    <col min="2" max="2" width="12.5703125" bestFit="1" customWidth="1"/>
    <col min="3" max="3" width="39.28515625" customWidth="1"/>
    <col min="4" max="4" width="56.7109375" bestFit="1" customWidth="1"/>
    <col min="6" max="6" width="15.85546875" bestFit="1" customWidth="1"/>
  </cols>
  <sheetData>
    <row r="1" spans="1:12">
      <c r="A1" s="30" t="s">
        <v>502</v>
      </c>
      <c r="B1" s="30" t="s">
        <v>536</v>
      </c>
      <c r="C1" s="30" t="s">
        <v>537</v>
      </c>
      <c r="D1" s="30" t="s">
        <v>538</v>
      </c>
      <c r="F1" s="31" t="s">
        <v>502</v>
      </c>
    </row>
    <row r="2" spans="1:12" ht="15.75">
      <c r="A2" s="30" t="s">
        <v>511</v>
      </c>
      <c r="B2" s="30" t="s">
        <v>505</v>
      </c>
      <c r="C2" s="30" t="s">
        <v>512</v>
      </c>
      <c r="D2" s="30" t="s">
        <v>577</v>
      </c>
      <c r="F2" s="31" t="s">
        <v>540</v>
      </c>
      <c r="G2" t="str">
        <f t="shared" ref="G2:G22" si="0">" &lt;SIGOPTION&gt;&lt;ALSOGRANTS/&gt;&lt;ALSOREVOKES/&gt;&lt;APP&gt;MASTERPM&lt;/APP&gt;&lt;AUTHORIZED&gt;0&lt;/AUTHORIZED&gt; &lt;CONDITIONNUM/&gt;&lt;DESCRIPTION&gt;"&amp;D2&amp;"&lt;/DESCRIPTION&gt;&lt;ESIGENABLED&gt;0&lt;/ESIGENABLED&gt;&lt;GROUPNAME/&gt;&lt;OPTIONNAME&gt;"&amp;F2&amp;"&lt;/OPTIONNAME&gt;&lt;PREREQUISITE/&gt;&lt;VISIBLE&gt;1&lt;/VISIBLE&gt;&lt;/SIGOPTION&gt;"</f>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плана&lt;/DESCRIPTION&gt;&lt;ESIGENABLED&gt;0&lt;/ESIGENABLED&gt;&lt;GROUPNAME/&gt;&lt;OPTIONNAME&gt;MPMPLAN01&lt;/OPTIONNAME&gt;&lt;PREREQUISITE/&gt;&lt;VISIBLE&gt;1&lt;/VISIBLE&gt;&lt;/SIGOPTION&gt;</v>
      </c>
      <c r="H2" s="36" t="s">
        <v>578</v>
      </c>
      <c r="J2" s="1" t="str">
        <f>"&lt;CONDITION&gt;&lt;CLASSNAME/&gt;&lt;CONDITIONNUM&gt;"&amp;F2&amp;"&lt;/CONDITIONNUM&gt;&lt;DESCRIPTION&gt;Условия для опции подписи """&amp;F2&amp;"""&lt;/DESCRIPTION&gt;&lt;EXPRESSION&gt;&lt;![CDATA["&amp;C2&amp;"]]&gt;&lt;/EXPRESSION&gt;&lt;TYPE&gt;ВЫРАЖЕНИЕ&lt;/TYPE&gt;&lt;/CONDITION&gt;"</f>
        <v>&lt;CONDITION&gt;&lt;CLASSNAME/&gt;&lt;CONDITIONNUM&gt;MPMPLAN01&lt;/CONDITIONNUM&gt;&lt;DESCRIPTION&gt;Условия для опции подписи "MPMPLAN01"&lt;/DESCRIPTION&gt;&lt;EXPRESSION&gt;&lt;![CDATA[:namerab1 = '090000070799']]&gt;&lt;/EXPRESSION&gt;&lt;TYPE&gt;ВЫРАЖЕНИЕ&lt;/TYPE&gt;&lt;/CONDITION&gt;</v>
      </c>
      <c r="K2" s="36" t="s">
        <v>578</v>
      </c>
      <c r="L2" t="str">
        <f>" &lt;APPLICATIONAUTH&gt;&lt;APP&gt;MASTERPM&lt;/APP&gt;&lt;CONDITIONNUM&gt;"&amp;F2&amp;"&lt;/CONDITIONNUM&gt;&lt;GROUPNAME&gt;SL_P&lt;/GROUPNAME&gt;&lt;OPTIONNAME&gt;"&amp;F2&amp;"&lt;/OPTIONNAME&gt;&lt;/APPLICATIONAUTH&gt;"</f>
        <v xml:space="preserve"> &lt;APPLICATIONAUTH&gt;&lt;APP&gt;MASTERPM&lt;/APP&gt;&lt;CONDITIONNUM&gt;MPMPLAN01&lt;/CONDITIONNUM&gt;&lt;GROUPNAME&gt;SL_P&lt;/GROUPNAME&gt;&lt;OPTIONNAME&gt;MPMPLAN01&lt;/OPTIONNAME&gt;&lt;/APPLICATIONAUTH&gt;</v>
      </c>
    </row>
    <row r="3" spans="1:12" ht="15.75">
      <c r="A3" s="30" t="s">
        <v>525</v>
      </c>
      <c r="B3" s="30" t="s">
        <v>505</v>
      </c>
      <c r="C3" s="30" t="s">
        <v>526</v>
      </c>
      <c r="D3" s="30" t="s">
        <v>577</v>
      </c>
      <c r="F3" s="31" t="s">
        <v>541</v>
      </c>
      <c r="G3" t="str">
        <f t="shared" si="0"/>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плана&lt;/DESCRIPTION&gt;&lt;ESIGENABLED&gt;0&lt;/ESIGENABLED&gt;&lt;GROUPNAME/&gt;&lt;OPTIONNAME&gt;MPMPLAN02&lt;/OPTIONNAME&gt;&lt;PREREQUISITE/&gt;&lt;VISIBLE&gt;1&lt;/VISIBLE&gt;&lt;/SIGOPTION&gt;</v>
      </c>
      <c r="H3" s="36" t="s">
        <v>578</v>
      </c>
      <c r="J3" s="1" t="str">
        <f t="shared" ref="J3:J22" si="1">"&lt;CONDITION&gt;&lt;CLASSNAME/&gt;&lt;CONDITIONNUM&gt;"&amp;F3&amp;"&lt;/CONDITIONNUM&gt;&lt;DESCRIPTION&gt;Условия для опции подписи """&amp;F3&amp;"""&lt;/DESCRIPTION&gt;&lt;EXPRESSION&gt;&lt;![CDATA["&amp;C3&amp;"]]&gt;&lt;/EXPRESSION&gt;&lt;TYPE&gt;ВЫРАЖЕНИЕ&lt;/TYPE&gt;&lt;/CONDITION&gt;"</f>
        <v>&lt;CONDITION&gt;&lt;CLASSNAME/&gt;&lt;CONDITIONNUM&gt;MPMPLAN02&lt;/CONDITIONNUM&gt;&lt;DESCRIPTION&gt;Условия для опции подписи "MPMPLAN02"&lt;/DESCRIPTION&gt;&lt;EXPRESSION&gt;&lt;![CDATA[:namerab1 = '090000070804']]&gt;&lt;/EXPRESSION&gt;&lt;TYPE&gt;ВЫРАЖЕНИЕ&lt;/TYPE&gt;&lt;/CONDITION&gt;</v>
      </c>
      <c r="K3" s="36" t="s">
        <v>578</v>
      </c>
      <c r="L3" t="str">
        <f t="shared" ref="L3:L24" si="2">" &lt;APPLICATIONAUTH&gt;&lt;APP&gt;MASTERPM&lt;/APP&gt;&lt;CONDITIONNUM&gt;"&amp;F3&amp;"&lt;/CONDITIONNUM&gt;&lt;GROUPNAME&gt;SL_P&lt;/GROUPNAME&gt;&lt;OPTIONNAME&gt;"&amp;F3&amp;"&lt;/OPTIONNAME&gt;&lt;/APPLICATIONAUTH&gt;"</f>
        <v xml:space="preserve"> &lt;APPLICATIONAUTH&gt;&lt;APP&gt;MASTERPM&lt;/APP&gt;&lt;CONDITIONNUM&gt;MPMPLAN02&lt;/CONDITIONNUM&gt;&lt;GROUPNAME&gt;SL_P&lt;/GROUPNAME&gt;&lt;OPTIONNAME&gt;MPMPLAN02&lt;/OPTIONNAME&gt;&lt;/APPLICATIONAUTH&gt;</v>
      </c>
    </row>
    <row r="4" spans="1:12" ht="15.75">
      <c r="A4" s="30" t="s">
        <v>527</v>
      </c>
      <c r="B4" s="30" t="s">
        <v>505</v>
      </c>
      <c r="C4" s="30" t="s">
        <v>528</v>
      </c>
      <c r="D4" s="30" t="s">
        <v>577</v>
      </c>
      <c r="F4" s="31" t="s">
        <v>542</v>
      </c>
      <c r="G4" t="str">
        <f t="shared" si="0"/>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плана&lt;/DESCRIPTION&gt;&lt;ESIGENABLED&gt;0&lt;/ESIGENABLED&gt;&lt;GROUPNAME/&gt;&lt;OPTIONNAME&gt;MPMPLAN03&lt;/OPTIONNAME&gt;&lt;PREREQUISITE/&gt;&lt;VISIBLE&gt;1&lt;/VISIBLE&gt;&lt;/SIGOPTION&gt;</v>
      </c>
      <c r="H4" s="36" t="s">
        <v>578</v>
      </c>
      <c r="J4" s="1" t="str">
        <f t="shared" si="1"/>
        <v>&lt;CONDITION&gt;&lt;CLASSNAME/&gt;&lt;CONDITIONNUM&gt;MPMPLAN03&lt;/CONDITIONNUM&gt;&lt;DESCRIPTION&gt;Условия для опции подписи "MPMPLAN03"&lt;/DESCRIPTION&gt;&lt;EXPRESSION&gt;&lt;![CDATA[:namerab1 = '090000070806']]&gt;&lt;/EXPRESSION&gt;&lt;TYPE&gt;ВЫРАЖЕНИЕ&lt;/TYPE&gt;&lt;/CONDITION&gt;</v>
      </c>
      <c r="K4" s="36" t="s">
        <v>578</v>
      </c>
      <c r="L4" t="str">
        <f t="shared" si="2"/>
        <v xml:space="preserve"> &lt;APPLICATIONAUTH&gt;&lt;APP&gt;MASTERPM&lt;/APP&gt;&lt;CONDITIONNUM&gt;MPMPLAN03&lt;/CONDITIONNUM&gt;&lt;GROUPNAME&gt;SL_P&lt;/GROUPNAME&gt;&lt;OPTIONNAME&gt;MPMPLAN03&lt;/OPTIONNAME&gt;&lt;/APPLICATIONAUTH&gt;</v>
      </c>
    </row>
    <row r="5" spans="1:12" ht="15.75">
      <c r="A5" s="30" t="s">
        <v>503</v>
      </c>
      <c r="B5" s="30" t="s">
        <v>505</v>
      </c>
      <c r="C5" s="30" t="s">
        <v>529</v>
      </c>
      <c r="D5" s="30" t="s">
        <v>577</v>
      </c>
      <c r="F5" s="31" t="s">
        <v>543</v>
      </c>
      <c r="G5" t="str">
        <f t="shared" si="0"/>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плана&lt;/DESCRIPTION&gt;&lt;ESIGENABLED&gt;0&lt;/ESIGENABLED&gt;&lt;GROUPNAME/&gt;&lt;OPTIONNAME&gt;MPMPLAN04&lt;/OPTIONNAME&gt;&lt;PREREQUISITE/&gt;&lt;VISIBLE&gt;1&lt;/VISIBLE&gt;&lt;/SIGOPTION&gt;</v>
      </c>
      <c r="H5" s="36" t="s">
        <v>578</v>
      </c>
      <c r="J5" s="1" t="str">
        <f t="shared" si="1"/>
        <v>&lt;CONDITION&gt;&lt;CLASSNAME/&gt;&lt;CONDITIONNUM&gt;MPMPLAN04&lt;/CONDITIONNUM&gt;&lt;DESCRIPTION&gt;Условия для опции подписи "MPMPLAN04"&lt;/DESCRIPTION&gt;&lt;EXPRESSION&gt;&lt;![CDATA[:namerab1 = '090000070808']]&gt;&lt;/EXPRESSION&gt;&lt;TYPE&gt;ВЫРАЖЕНИЕ&lt;/TYPE&gt;&lt;/CONDITION&gt;</v>
      </c>
      <c r="K5" s="36" t="s">
        <v>578</v>
      </c>
      <c r="L5" t="str">
        <f t="shared" si="2"/>
        <v xml:space="preserve"> &lt;APPLICATIONAUTH&gt;&lt;APP&gt;MASTERPM&lt;/APP&gt;&lt;CONDITIONNUM&gt;MPMPLAN04&lt;/CONDITIONNUM&gt;&lt;GROUPNAME&gt;SL_P&lt;/GROUPNAME&gt;&lt;OPTIONNAME&gt;MPMPLAN04&lt;/OPTIONNAME&gt;&lt;/APPLICATIONAUTH&gt;</v>
      </c>
    </row>
    <row r="6" spans="1:12" ht="15.75">
      <c r="A6" s="30" t="s">
        <v>530</v>
      </c>
      <c r="B6" s="30" t="s">
        <v>505</v>
      </c>
      <c r="C6" s="30" t="s">
        <v>531</v>
      </c>
      <c r="D6" s="30" t="s">
        <v>577</v>
      </c>
      <c r="F6" s="31" t="s">
        <v>544</v>
      </c>
      <c r="G6" t="str">
        <f t="shared" si="0"/>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плана&lt;/DESCRIPTION&gt;&lt;ESIGENABLED&gt;0&lt;/ESIGENABLED&gt;&lt;GROUPNAME/&gt;&lt;OPTIONNAME&gt;MPMPLAN05&lt;/OPTIONNAME&gt;&lt;PREREQUISITE/&gt;&lt;VISIBLE&gt;1&lt;/VISIBLE&gt;&lt;/SIGOPTION&gt;</v>
      </c>
      <c r="H6" s="36" t="s">
        <v>578</v>
      </c>
      <c r="J6" s="1" t="str">
        <f t="shared" si="1"/>
        <v>&lt;CONDITION&gt;&lt;CLASSNAME/&gt;&lt;CONDITIONNUM&gt;MPMPLAN05&lt;/CONDITIONNUM&gt;&lt;DESCRIPTION&gt;Условия для опции подписи "MPMPLAN05"&lt;/DESCRIPTION&gt;&lt;EXPRESSION&gt;&lt;![CDATA[:namerab1 = '090000070811']]&gt;&lt;/EXPRESSION&gt;&lt;TYPE&gt;ВЫРАЖЕНИЕ&lt;/TYPE&gt;&lt;/CONDITION&gt;</v>
      </c>
      <c r="K6" s="36" t="s">
        <v>578</v>
      </c>
      <c r="L6" t="str">
        <f t="shared" si="2"/>
        <v xml:space="preserve"> &lt;APPLICATIONAUTH&gt;&lt;APP&gt;MASTERPM&lt;/APP&gt;&lt;CONDITIONNUM&gt;MPMPLAN05&lt;/CONDITIONNUM&gt;&lt;GROUPNAME&gt;SL_P&lt;/GROUPNAME&gt;&lt;OPTIONNAME&gt;MPMPLAN05&lt;/OPTIONNAME&gt;&lt;/APPLICATIONAUTH&gt;</v>
      </c>
    </row>
    <row r="7" spans="1:12" s="78" customFormat="1" ht="15.75">
      <c r="A7" s="77" t="s">
        <v>539</v>
      </c>
      <c r="B7" s="77" t="s">
        <v>505</v>
      </c>
      <c r="C7" s="77" t="s">
        <v>589</v>
      </c>
      <c r="D7" s="77" t="s">
        <v>577</v>
      </c>
      <c r="F7" s="77" t="s">
        <v>545</v>
      </c>
      <c r="G7" s="78" t="str">
        <f>" &lt;SIGOPTION&gt;&lt;ALSOGRANTS/&gt;&lt;ALSOREVOKES/&gt;&lt;APP&gt;MASTERPM&lt;/APP&gt;&lt;AUTHORIZED&gt;0&lt;/AUTHORIZED&gt; &lt;CONDITIONNUM/&gt;&lt;DESCRIPTION&gt;"&amp;D7&amp;"&lt;/DESCRIPTION&gt;&lt;ESIGENABLED&gt;0&lt;/ESIGENABLED&gt;&lt;GROUPNAME/&gt;&lt;OPTIONNAME&gt;"&amp;F7&amp;"&lt;/OPTIONNAME&gt;&lt;PREREQUISITE/&gt;&lt;VISIBLE&gt;1&lt;/VISIBLE&gt;&lt;/SIGOPTION&gt;"</f>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плана&lt;/DESCRIPTION&gt;&lt;ESIGENABLED&gt;0&lt;/ESIGENABLED&gt;&lt;GROUPNAME/&gt;&lt;OPTIONNAME&gt;MPMPLAN06&lt;/OPTIONNAME&gt;&lt;PREREQUISITE/&gt;&lt;VISIBLE&gt;1&lt;/VISIBLE&gt;&lt;/SIGOPTION&gt;</v>
      </c>
      <c r="H7" s="79" t="s">
        <v>578</v>
      </c>
      <c r="J7" s="81" t="str">
        <f>"&lt;CONDITION&gt;&lt;CLASSNAME/&gt;&lt;CONDITIONNUM&gt;"&amp;F7&amp;"&lt;/CONDITIONNUM&gt;&lt;DESCRIPTION&gt;Условия для опции подписи """&amp;F7&amp;"""&lt;/DESCRIPTION&gt;&lt;EXPRESSION&gt;&lt;![CDATA["&amp;C7&amp;"]]&gt;&lt;/EXPRESSION&gt;&lt;TYPE&gt;ВЫРАЖЕНИЕ&lt;/TYPE&gt;&lt;/CONDITION&gt;"</f>
        <v>&lt;CONDITION&gt;&lt;CLASSNAME/&gt;&lt;CONDITIONNUM&gt;MPMPLAN06&lt;/CONDITIONNUM&gt;&lt;DESCRIPTION&gt;Условия для опции подписи "MPMPLAN06"&lt;/DESCRIPTION&gt;&lt;EXPRESSION&gt;&lt;![CDATA[:namerab1 = '090000070815']]&gt;&lt;/EXPRESSION&gt;&lt;TYPE&gt;ВЫРАЖЕНИЕ&lt;/TYPE&gt;&lt;/CONDITION&gt;</v>
      </c>
      <c r="K7" s="79" t="s">
        <v>578</v>
      </c>
      <c r="L7" s="78" t="str">
        <f>" &lt;APPLICATIONAUTH&gt;&lt;APP&gt;MASTERPM&lt;/APP&gt;&lt;CONDITIONNUM&gt;"&amp;F7&amp;"&lt;/CONDITIONNUM&gt;&lt;GROUPNAME&gt;SL_P&lt;/GROUPNAME&gt;&lt;OPTIONNAME&gt;"&amp;F7&amp;"&lt;/OPTIONNAME&gt;&lt;/APPLICATIONAUTH&gt;"</f>
        <v xml:space="preserve"> &lt;APPLICATIONAUTH&gt;&lt;APP&gt;MASTERPM&lt;/APP&gt;&lt;CONDITIONNUM&gt;MPMPLAN06&lt;/CONDITIONNUM&gt;&lt;GROUPNAME&gt;SL_P&lt;/GROUPNAME&gt;&lt;OPTIONNAME&gt;MPMPLAN06&lt;/OPTIONNAME&gt;&lt;/APPLICATIONAUTH&gt;</v>
      </c>
    </row>
    <row r="8" spans="1:12" ht="15.75">
      <c r="A8" s="30" t="s">
        <v>532</v>
      </c>
      <c r="B8" s="30" t="s">
        <v>505</v>
      </c>
      <c r="C8" s="30" t="s">
        <v>533</v>
      </c>
      <c r="D8" s="30" t="s">
        <v>577</v>
      </c>
      <c r="F8" s="31" t="s">
        <v>546</v>
      </c>
      <c r="G8" t="str">
        <f t="shared" si="0"/>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плана&lt;/DESCRIPTION&gt;&lt;ESIGENABLED&gt;0&lt;/ESIGENABLED&gt;&lt;GROUPNAME/&gt;&lt;OPTIONNAME&gt;MPMPLAN07&lt;/OPTIONNAME&gt;&lt;PREREQUISITE/&gt;&lt;VISIBLE&gt;1&lt;/VISIBLE&gt;&lt;/SIGOPTION&gt;</v>
      </c>
      <c r="H8" s="36" t="s">
        <v>578</v>
      </c>
      <c r="J8" s="1" t="str">
        <f t="shared" si="1"/>
        <v>&lt;CONDITION&gt;&lt;CLASSNAME/&gt;&lt;CONDITIONNUM&gt;MPMPLAN07&lt;/CONDITIONNUM&gt;&lt;DESCRIPTION&gt;Условия для опции подписи "MPMPLAN07"&lt;/DESCRIPTION&gt;&lt;EXPRESSION&gt;&lt;![CDATA[:namerab1 = '090000070813']]&gt;&lt;/EXPRESSION&gt;&lt;TYPE&gt;ВЫРАЖЕНИЕ&lt;/TYPE&gt;&lt;/CONDITION&gt;</v>
      </c>
      <c r="K8" s="36" t="s">
        <v>578</v>
      </c>
      <c r="L8" t="str">
        <f t="shared" si="2"/>
        <v xml:space="preserve"> &lt;APPLICATIONAUTH&gt;&lt;APP&gt;MASTERPM&lt;/APP&gt;&lt;CONDITIONNUM&gt;MPMPLAN07&lt;/CONDITIONNUM&gt;&lt;GROUPNAME&gt;SL_P&lt;/GROUPNAME&gt;&lt;OPTIONNAME&gt;MPMPLAN07&lt;/OPTIONNAME&gt;&lt;/APPLICATIONAUTH&gt;</v>
      </c>
    </row>
    <row r="9" spans="1:12" ht="15.75">
      <c r="A9" s="30" t="s">
        <v>534</v>
      </c>
      <c r="B9" s="30" t="s">
        <v>505</v>
      </c>
      <c r="C9" s="30" t="s">
        <v>535</v>
      </c>
      <c r="D9" s="30" t="s">
        <v>577</v>
      </c>
      <c r="F9" s="31" t="s">
        <v>547</v>
      </c>
      <c r="G9" t="str">
        <f t="shared" si="0"/>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плана&lt;/DESCRIPTION&gt;&lt;ESIGENABLED&gt;0&lt;/ESIGENABLED&gt;&lt;GROUPNAME/&gt;&lt;OPTIONNAME&gt;MPMPLAN08&lt;/OPTIONNAME&gt;&lt;PREREQUISITE/&gt;&lt;VISIBLE&gt;1&lt;/VISIBLE&gt;&lt;/SIGOPTION&gt;</v>
      </c>
      <c r="H9" s="36" t="s">
        <v>578</v>
      </c>
      <c r="J9" s="1" t="str">
        <f t="shared" si="1"/>
        <v>&lt;CONDITION&gt;&lt;CLASSNAME/&gt;&lt;CONDITIONNUM&gt;MPMPLAN08&lt;/CONDITIONNUM&gt;&lt;DESCRIPTION&gt;Условия для опции подписи "MPMPLAN08"&lt;/DESCRIPTION&gt;&lt;EXPRESSION&gt;&lt;![CDATA[:namerab1 = '090000070817']]&gt;&lt;/EXPRESSION&gt;&lt;TYPE&gt;ВЫРАЖЕНИЕ&lt;/TYPE&gt;&lt;/CONDITION&gt;</v>
      </c>
      <c r="K9" s="36" t="s">
        <v>578</v>
      </c>
      <c r="L9" t="str">
        <f t="shared" si="2"/>
        <v xml:space="preserve"> &lt;APPLICATIONAUTH&gt;&lt;APP&gt;MASTERPM&lt;/APP&gt;&lt;CONDITIONNUM&gt;MPMPLAN08&lt;/CONDITIONNUM&gt;&lt;GROUPNAME&gt;SL_P&lt;/GROUPNAME&gt;&lt;OPTIONNAME&gt;MPMPLAN08&lt;/OPTIONNAME&gt;&lt;/APPLICATIONAUTH&gt;</v>
      </c>
    </row>
    <row r="10" spans="1:12" s="78" customFormat="1" ht="15.75">
      <c r="A10" s="77" t="s">
        <v>558</v>
      </c>
      <c r="B10" s="77" t="s">
        <v>505</v>
      </c>
      <c r="C10" s="77" t="s">
        <v>590</v>
      </c>
      <c r="D10" s="77" t="s">
        <v>577</v>
      </c>
      <c r="F10" s="77" t="s">
        <v>548</v>
      </c>
      <c r="G10" s="78" t="str">
        <f t="shared" si="0"/>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плана&lt;/DESCRIPTION&gt;&lt;ESIGENABLED&gt;0&lt;/ESIGENABLED&gt;&lt;GROUPNAME/&gt;&lt;OPTIONNAME&gt;MPMPLAN09&lt;/OPTIONNAME&gt;&lt;PREREQUISITE/&gt;&lt;VISIBLE&gt;1&lt;/VISIBLE&gt;&lt;/SIGOPTION&gt;</v>
      </c>
      <c r="H10" s="79" t="s">
        <v>578</v>
      </c>
      <c r="J10" s="81" t="str">
        <f t="shared" si="1"/>
        <v>&lt;CONDITION&gt;&lt;CLASSNAME/&gt;&lt;CONDITIONNUM&gt;MPMPLAN09&lt;/CONDITIONNUM&gt;&lt;DESCRIPTION&gt;Условия для опции подписи "MPMPLAN09"&lt;/DESCRIPTION&gt;&lt;EXPRESSION&gt;&lt;![CDATA[:namerab1 = '090000074801']]&gt;&lt;/EXPRESSION&gt;&lt;TYPE&gt;ВЫРАЖЕНИЕ&lt;/TYPE&gt;&lt;/CONDITION&gt;</v>
      </c>
      <c r="K10" s="79" t="s">
        <v>578</v>
      </c>
      <c r="L10" s="78" t="str">
        <f t="shared" si="2"/>
        <v xml:space="preserve"> &lt;APPLICATIONAUTH&gt;&lt;APP&gt;MASTERPM&lt;/APP&gt;&lt;CONDITIONNUM&gt;MPMPLAN09&lt;/CONDITIONNUM&gt;&lt;GROUPNAME&gt;SL_P&lt;/GROUPNAME&gt;&lt;OPTIONNAME&gt;MPMPLAN09&lt;/OPTIONNAME&gt;&lt;/APPLICATIONAUTH&gt;</v>
      </c>
    </row>
    <row r="11" spans="1:12" s="78" customFormat="1" ht="15.75">
      <c r="A11" s="77" t="s">
        <v>559</v>
      </c>
      <c r="B11" s="77" t="s">
        <v>505</v>
      </c>
      <c r="C11" s="77" t="s">
        <v>591</v>
      </c>
      <c r="D11" s="77" t="s">
        <v>577</v>
      </c>
      <c r="F11" s="77" t="s">
        <v>549</v>
      </c>
      <c r="G11" s="78" t="str">
        <f t="shared" si="0"/>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плана&lt;/DESCRIPTION&gt;&lt;ESIGENABLED&gt;0&lt;/ESIGENABLED&gt;&lt;GROUPNAME/&gt;&lt;OPTIONNAME&gt;MPMPLAN10&lt;/OPTIONNAME&gt;&lt;PREREQUISITE/&gt;&lt;VISIBLE&gt;1&lt;/VISIBLE&gt;&lt;/SIGOPTION&gt;</v>
      </c>
      <c r="H11" s="79" t="s">
        <v>578</v>
      </c>
      <c r="J11" s="81" t="str">
        <f t="shared" si="1"/>
        <v>&lt;CONDITION&gt;&lt;CLASSNAME/&gt;&lt;CONDITIONNUM&gt;MPMPLAN10&lt;/CONDITIONNUM&gt;&lt;DESCRIPTION&gt;Условия для опции подписи "MPMPLAN10"&lt;/DESCRIPTION&gt;&lt;EXPRESSION&gt;&lt;![CDATA[:namerab1 = '090000070819']]&gt;&lt;/EXPRESSION&gt;&lt;TYPE&gt;ВЫРАЖЕНИЕ&lt;/TYPE&gt;&lt;/CONDITION&gt;</v>
      </c>
      <c r="K11" s="79" t="s">
        <v>578</v>
      </c>
      <c r="L11" s="78" t="str">
        <f t="shared" si="2"/>
        <v xml:space="preserve"> &lt;APPLICATIONAUTH&gt;&lt;APP&gt;MASTERPM&lt;/APP&gt;&lt;CONDITIONNUM&gt;MPMPLAN10&lt;/CONDITIONNUM&gt;&lt;GROUPNAME&gt;SL_P&lt;/GROUPNAME&gt;&lt;OPTIONNAME&gt;MPMPLAN10&lt;/OPTIONNAME&gt;&lt;/APPLICATIONAUTH&gt;</v>
      </c>
    </row>
    <row r="12" spans="1:12" s="78" customFormat="1" ht="15.75">
      <c r="A12" s="77" t="s">
        <v>561</v>
      </c>
      <c r="B12" s="77" t="s">
        <v>505</v>
      </c>
      <c r="C12" s="77" t="s">
        <v>592</v>
      </c>
      <c r="D12" s="77" t="s">
        <v>577</v>
      </c>
      <c r="F12" s="77" t="s">
        <v>550</v>
      </c>
      <c r="G12" s="78" t="str">
        <f t="shared" si="0"/>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плана&lt;/DESCRIPTION&gt;&lt;ESIGENABLED&gt;0&lt;/ESIGENABLED&gt;&lt;GROUPNAME/&gt;&lt;OPTIONNAME&gt;MPMPLAN11&lt;/OPTIONNAME&gt;&lt;PREREQUISITE/&gt;&lt;VISIBLE&gt;1&lt;/VISIBLE&gt;&lt;/SIGOPTION&gt;</v>
      </c>
      <c r="H12" s="79" t="s">
        <v>578</v>
      </c>
      <c r="J12" s="81" t="str">
        <f t="shared" si="1"/>
        <v>&lt;CONDITION&gt;&lt;CLASSNAME/&gt;&lt;CONDITIONNUM&gt;MPMPLAN11&lt;/CONDITIONNUM&gt;&lt;DESCRIPTION&gt;Условия для опции подписи "MPMPLAN11"&lt;/DESCRIPTION&gt;&lt;EXPRESSION&gt;&lt;![CDATA[:namerab1 = '090000070826']]&gt;&lt;/EXPRESSION&gt;&lt;TYPE&gt;ВЫРАЖЕНИЕ&lt;/TYPE&gt;&lt;/CONDITION&gt;</v>
      </c>
      <c r="K12" s="79" t="s">
        <v>578</v>
      </c>
      <c r="L12" s="78" t="str">
        <f t="shared" si="2"/>
        <v xml:space="preserve"> &lt;APPLICATIONAUTH&gt;&lt;APP&gt;MASTERPM&lt;/APP&gt;&lt;CONDITIONNUM&gt;MPMPLAN11&lt;/CONDITIONNUM&gt;&lt;GROUPNAME&gt;SL_P&lt;/GROUPNAME&gt;&lt;OPTIONNAME&gt;MPMPLAN11&lt;/OPTIONNAME&gt;&lt;/APPLICATIONAUTH&gt;</v>
      </c>
    </row>
    <row r="13" spans="1:12" ht="15.75">
      <c r="A13" s="30" t="s">
        <v>504</v>
      </c>
      <c r="B13" s="30" t="s">
        <v>505</v>
      </c>
      <c r="C13" s="30" t="s">
        <v>506</v>
      </c>
      <c r="D13" s="30" t="s">
        <v>577</v>
      </c>
      <c r="F13" s="31" t="s">
        <v>551</v>
      </c>
      <c r="G13" t="str">
        <f t="shared" si="0"/>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плана&lt;/DESCRIPTION&gt;&lt;ESIGENABLED&gt;0&lt;/ESIGENABLED&gt;&lt;GROUPNAME/&gt;&lt;OPTIONNAME&gt;MPMPLAN12&lt;/OPTIONNAME&gt;&lt;PREREQUISITE/&gt;&lt;VISIBLE&gt;1&lt;/VISIBLE&gt;&lt;/SIGOPTION&gt;</v>
      </c>
      <c r="H13" s="36" t="s">
        <v>578</v>
      </c>
      <c r="J13" s="1" t="str">
        <f t="shared" si="1"/>
        <v>&lt;CONDITION&gt;&lt;CLASSNAME/&gt;&lt;CONDITIONNUM&gt;MPMPLAN12&lt;/CONDITIONNUM&gt;&lt;DESCRIPTION&gt;Условия для опции подписи "MPMPLAN12"&lt;/DESCRIPTION&gt;&lt;EXPRESSION&gt;&lt;![CDATA[:namerab1 = '090000070831']]&gt;&lt;/EXPRESSION&gt;&lt;TYPE&gt;ВЫРАЖЕНИЕ&lt;/TYPE&gt;&lt;/CONDITION&gt;</v>
      </c>
      <c r="K13" s="36" t="s">
        <v>578</v>
      </c>
      <c r="L13" t="str">
        <f t="shared" si="2"/>
        <v xml:space="preserve"> &lt;APPLICATIONAUTH&gt;&lt;APP&gt;MASTERPM&lt;/APP&gt;&lt;CONDITIONNUM&gt;MPMPLAN12&lt;/CONDITIONNUM&gt;&lt;GROUPNAME&gt;SL_P&lt;/GROUPNAME&gt;&lt;OPTIONNAME&gt;MPMPLAN12&lt;/OPTIONNAME&gt;&lt;/APPLICATIONAUTH&gt;</v>
      </c>
    </row>
    <row r="14" spans="1:12" ht="15.75">
      <c r="A14" s="30" t="s">
        <v>507</v>
      </c>
      <c r="B14" s="30" t="s">
        <v>505</v>
      </c>
      <c r="C14" s="30" t="s">
        <v>508</v>
      </c>
      <c r="D14" s="30" t="s">
        <v>577</v>
      </c>
      <c r="F14" s="31" t="s">
        <v>552</v>
      </c>
      <c r="G14" t="str">
        <f t="shared" si="0"/>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плана&lt;/DESCRIPTION&gt;&lt;ESIGENABLED&gt;0&lt;/ESIGENABLED&gt;&lt;GROUPNAME/&gt;&lt;OPTIONNAME&gt;MPMPLAN13&lt;/OPTIONNAME&gt;&lt;PREREQUISITE/&gt;&lt;VISIBLE&gt;1&lt;/VISIBLE&gt;&lt;/SIGOPTION&gt;</v>
      </c>
      <c r="H14" s="36" t="s">
        <v>578</v>
      </c>
      <c r="J14" s="1" t="str">
        <f t="shared" si="1"/>
        <v>&lt;CONDITION&gt;&lt;CLASSNAME/&gt;&lt;CONDITIONNUM&gt;MPMPLAN13&lt;/CONDITIONNUM&gt;&lt;DESCRIPTION&gt;Условия для опции подписи "MPMPLAN13"&lt;/DESCRIPTION&gt;&lt;EXPRESSION&gt;&lt;![CDATA[:namerab1 = '090000070832']]&gt;&lt;/EXPRESSION&gt;&lt;TYPE&gt;ВЫРАЖЕНИЕ&lt;/TYPE&gt;&lt;/CONDITION&gt;</v>
      </c>
      <c r="K14" s="36" t="s">
        <v>578</v>
      </c>
      <c r="L14" t="str">
        <f t="shared" si="2"/>
        <v xml:space="preserve"> &lt;APPLICATIONAUTH&gt;&lt;APP&gt;MASTERPM&lt;/APP&gt;&lt;CONDITIONNUM&gt;MPMPLAN13&lt;/CONDITIONNUM&gt;&lt;GROUPNAME&gt;SL_P&lt;/GROUPNAME&gt;&lt;OPTIONNAME&gt;MPMPLAN13&lt;/OPTIONNAME&gt;&lt;/APPLICATIONAUTH&gt;</v>
      </c>
    </row>
    <row r="15" spans="1:12" ht="15.75">
      <c r="A15" s="30" t="s">
        <v>509</v>
      </c>
      <c r="B15" s="30" t="s">
        <v>505</v>
      </c>
      <c r="C15" s="30" t="s">
        <v>510</v>
      </c>
      <c r="D15" s="30" t="s">
        <v>577</v>
      </c>
      <c r="F15" s="31" t="s">
        <v>553</v>
      </c>
      <c r="G15" t="str">
        <f t="shared" si="0"/>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плана&lt;/DESCRIPTION&gt;&lt;ESIGENABLED&gt;0&lt;/ESIGENABLED&gt;&lt;GROUPNAME/&gt;&lt;OPTIONNAME&gt;MPMPLAN14&lt;/OPTIONNAME&gt;&lt;PREREQUISITE/&gt;&lt;VISIBLE&gt;1&lt;/VISIBLE&gt;&lt;/SIGOPTION&gt;</v>
      </c>
      <c r="H15" s="36" t="s">
        <v>578</v>
      </c>
      <c r="J15" s="1" t="str">
        <f t="shared" si="1"/>
        <v>&lt;CONDITION&gt;&lt;CLASSNAME/&gt;&lt;CONDITIONNUM&gt;MPMPLAN14&lt;/CONDITIONNUM&gt;&lt;DESCRIPTION&gt;Условия для опции подписи "MPMPLAN14"&lt;/DESCRIPTION&gt;&lt;EXPRESSION&gt;&lt;![CDATA[:namerab1 = '090000070833']]&gt;&lt;/EXPRESSION&gt;&lt;TYPE&gt;ВЫРАЖЕНИЕ&lt;/TYPE&gt;&lt;/CONDITION&gt;</v>
      </c>
      <c r="K15" s="36" t="s">
        <v>578</v>
      </c>
      <c r="L15" t="str">
        <f t="shared" si="2"/>
        <v xml:space="preserve"> &lt;APPLICATIONAUTH&gt;&lt;APP&gt;MASTERPM&lt;/APP&gt;&lt;CONDITIONNUM&gt;MPMPLAN14&lt;/CONDITIONNUM&gt;&lt;GROUPNAME&gt;SL_P&lt;/GROUPNAME&gt;&lt;OPTIONNAME&gt;MPMPLAN14&lt;/OPTIONNAME&gt;&lt;/APPLICATIONAUTH&gt;</v>
      </c>
    </row>
    <row r="16" spans="1:12" s="78" customFormat="1" ht="15.75">
      <c r="A16" s="80" t="s">
        <v>563</v>
      </c>
      <c r="B16" s="77" t="s">
        <v>505</v>
      </c>
      <c r="C16" s="77" t="s">
        <v>593</v>
      </c>
      <c r="D16" s="77" t="s">
        <v>577</v>
      </c>
      <c r="F16" s="77" t="s">
        <v>554</v>
      </c>
      <c r="G16" s="78" t="str">
        <f t="shared" si="0"/>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плана&lt;/DESCRIPTION&gt;&lt;ESIGENABLED&gt;0&lt;/ESIGENABLED&gt;&lt;GROUPNAME/&gt;&lt;OPTIONNAME&gt;MPMPLAN15&lt;/OPTIONNAME&gt;&lt;PREREQUISITE/&gt;&lt;VISIBLE&gt;1&lt;/VISIBLE&gt;&lt;/SIGOPTION&gt;</v>
      </c>
      <c r="H16" s="79" t="s">
        <v>578</v>
      </c>
      <c r="J16" s="81" t="str">
        <f t="shared" si="1"/>
        <v>&lt;CONDITION&gt;&lt;CLASSNAME/&gt;&lt;CONDITIONNUM&gt;MPMPLAN15&lt;/CONDITIONNUM&gt;&lt;DESCRIPTION&gt;Условия для опции подписи "MPMPLAN15"&lt;/DESCRIPTION&gt;&lt;EXPRESSION&gt;&lt;![CDATA[:namerab1 = '090000070881']]&gt;&lt;/EXPRESSION&gt;&lt;TYPE&gt;ВЫРАЖЕНИЕ&lt;/TYPE&gt;&lt;/CONDITION&gt;</v>
      </c>
      <c r="K16" s="79" t="s">
        <v>578</v>
      </c>
      <c r="L16" s="78" t="str">
        <f t="shared" si="2"/>
        <v xml:space="preserve"> &lt;APPLICATIONAUTH&gt;&lt;APP&gt;MASTERPM&lt;/APP&gt;&lt;CONDITIONNUM&gt;MPMPLAN15&lt;/CONDITIONNUM&gt;&lt;GROUPNAME&gt;SL_P&lt;/GROUPNAME&gt;&lt;OPTIONNAME&gt;MPMPLAN15&lt;/OPTIONNAME&gt;&lt;/APPLICATIONAUTH&gt;</v>
      </c>
    </row>
    <row r="17" spans="1:12" s="78" customFormat="1" ht="15.75">
      <c r="A17" s="80" t="s">
        <v>566</v>
      </c>
      <c r="B17" s="77" t="s">
        <v>505</v>
      </c>
      <c r="C17" s="77" t="s">
        <v>594</v>
      </c>
      <c r="D17" s="77" t="s">
        <v>577</v>
      </c>
      <c r="F17" s="77" t="s">
        <v>555</v>
      </c>
      <c r="G17" s="78" t="str">
        <f t="shared" si="0"/>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плана&lt;/DESCRIPTION&gt;&lt;ESIGENABLED&gt;0&lt;/ESIGENABLED&gt;&lt;GROUPNAME/&gt;&lt;OPTIONNAME&gt;MPMPLAN16&lt;/OPTIONNAME&gt;&lt;PREREQUISITE/&gt;&lt;VISIBLE&gt;1&lt;/VISIBLE&gt;&lt;/SIGOPTION&gt;</v>
      </c>
      <c r="H17" s="79" t="s">
        <v>578</v>
      </c>
      <c r="J17" s="81" t="str">
        <f t="shared" si="1"/>
        <v>&lt;CONDITION&gt;&lt;CLASSNAME/&gt;&lt;CONDITIONNUM&gt;MPMPLAN16&lt;/CONDITIONNUM&gt;&lt;DESCRIPTION&gt;Условия для опции подписи "MPMPLAN16"&lt;/DESCRIPTION&gt;&lt;EXPRESSION&gt;&lt;![CDATA[:namerab1 = '090000070872']]&gt;&lt;/EXPRESSION&gt;&lt;TYPE&gt;ВЫРАЖЕНИЕ&lt;/TYPE&gt;&lt;/CONDITION&gt;</v>
      </c>
      <c r="K17" s="79" t="s">
        <v>578</v>
      </c>
      <c r="L17" s="78" t="str">
        <f t="shared" si="2"/>
        <v xml:space="preserve"> &lt;APPLICATIONAUTH&gt;&lt;APP&gt;MASTERPM&lt;/APP&gt;&lt;CONDITIONNUM&gt;MPMPLAN16&lt;/CONDITIONNUM&gt;&lt;GROUPNAME&gt;SL_P&lt;/GROUPNAME&gt;&lt;OPTIONNAME&gt;MPMPLAN16&lt;/OPTIONNAME&gt;&lt;/APPLICATIONAUTH&gt;</v>
      </c>
    </row>
    <row r="18" spans="1:12" ht="15.75">
      <c r="A18" s="30" t="s">
        <v>513</v>
      </c>
      <c r="B18" s="30" t="s">
        <v>505</v>
      </c>
      <c r="C18" s="30" t="s">
        <v>514</v>
      </c>
      <c r="D18" s="30" t="s">
        <v>577</v>
      </c>
      <c r="F18" s="31" t="s">
        <v>556</v>
      </c>
      <c r="G18" t="str">
        <f t="shared" si="0"/>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плана&lt;/DESCRIPTION&gt;&lt;ESIGENABLED&gt;0&lt;/ESIGENABLED&gt;&lt;GROUPNAME/&gt;&lt;OPTIONNAME&gt;MPMPLAN17&lt;/OPTIONNAME&gt;&lt;PREREQUISITE/&gt;&lt;VISIBLE&gt;1&lt;/VISIBLE&gt;&lt;/SIGOPTION&gt;</v>
      </c>
      <c r="H18" s="36" t="s">
        <v>578</v>
      </c>
      <c r="J18" s="1" t="str">
        <f t="shared" si="1"/>
        <v>&lt;CONDITION&gt;&lt;CLASSNAME/&gt;&lt;CONDITIONNUM&gt;MPMPLAN17&lt;/CONDITIONNUM&gt;&lt;DESCRIPTION&gt;Условия для опции подписи "MPMPLAN17"&lt;/DESCRIPTION&gt;&lt;EXPRESSION&gt;&lt;![CDATA[:namerab1 = '090000070864']]&gt;&lt;/EXPRESSION&gt;&lt;TYPE&gt;ВЫРАЖЕНИЕ&lt;/TYPE&gt;&lt;/CONDITION&gt;</v>
      </c>
      <c r="K18" s="36" t="s">
        <v>578</v>
      </c>
      <c r="L18" t="str">
        <f t="shared" si="2"/>
        <v xml:space="preserve"> &lt;APPLICATIONAUTH&gt;&lt;APP&gt;MASTERPM&lt;/APP&gt;&lt;CONDITIONNUM&gt;MPMPLAN17&lt;/CONDITIONNUM&gt;&lt;GROUPNAME&gt;SL_P&lt;/GROUPNAME&gt;&lt;OPTIONNAME&gt;MPMPLAN17&lt;/OPTIONNAME&gt;&lt;/APPLICATIONAUTH&gt;</v>
      </c>
    </row>
    <row r="19" spans="1:12" ht="15.75">
      <c r="A19" s="30" t="s">
        <v>515</v>
      </c>
      <c r="B19" s="30" t="s">
        <v>505</v>
      </c>
      <c r="C19" s="30" t="s">
        <v>516</v>
      </c>
      <c r="D19" s="30" t="s">
        <v>577</v>
      </c>
      <c r="F19" s="31" t="s">
        <v>557</v>
      </c>
      <c r="G19" t="str">
        <f t="shared" si="0"/>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плана&lt;/DESCRIPTION&gt;&lt;ESIGENABLED&gt;0&lt;/ESIGENABLED&gt;&lt;GROUPNAME/&gt;&lt;OPTIONNAME&gt;MPMPLAN18&lt;/OPTIONNAME&gt;&lt;PREREQUISITE/&gt;&lt;VISIBLE&gt;1&lt;/VISIBLE&gt;&lt;/SIGOPTION&gt;</v>
      </c>
      <c r="H19" s="36" t="s">
        <v>578</v>
      </c>
      <c r="J19" s="1" t="str">
        <f t="shared" si="1"/>
        <v>&lt;CONDITION&gt;&lt;CLASSNAME/&gt;&lt;CONDITIONNUM&gt;MPMPLAN18&lt;/CONDITIONNUM&gt;&lt;DESCRIPTION&gt;Условия для опции подписи "MPMPLAN18"&lt;/DESCRIPTION&gt;&lt;EXPRESSION&gt;&lt;![CDATA[:namerab1 = '090000070865']]&gt;&lt;/EXPRESSION&gt;&lt;TYPE&gt;ВЫРАЖЕНИЕ&lt;/TYPE&gt;&lt;/CONDITION&gt;</v>
      </c>
      <c r="K19" s="36" t="s">
        <v>578</v>
      </c>
      <c r="L19" t="str">
        <f t="shared" si="2"/>
        <v xml:space="preserve"> &lt;APPLICATIONAUTH&gt;&lt;APP&gt;MASTERPM&lt;/APP&gt;&lt;CONDITIONNUM&gt;MPMPLAN18&lt;/CONDITIONNUM&gt;&lt;GROUPNAME&gt;SL_P&lt;/GROUPNAME&gt;&lt;OPTIONNAME&gt;MPMPLAN18&lt;/OPTIONNAME&gt;&lt;/APPLICATIONAUTH&gt;</v>
      </c>
    </row>
    <row r="20" spans="1:12" ht="15.75">
      <c r="A20" s="30" t="s">
        <v>517</v>
      </c>
      <c r="B20" s="30" t="s">
        <v>505</v>
      </c>
      <c r="C20" s="30" t="s">
        <v>518</v>
      </c>
      <c r="D20" s="30" t="s">
        <v>577</v>
      </c>
      <c r="F20" s="31" t="s">
        <v>560</v>
      </c>
      <c r="G20" t="str">
        <f t="shared" si="0"/>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плана&lt;/DESCRIPTION&gt;&lt;ESIGENABLED&gt;0&lt;/ESIGENABLED&gt;&lt;GROUPNAME/&gt;&lt;OPTIONNAME&gt;MPMPLAN19&lt;/OPTIONNAME&gt;&lt;PREREQUISITE/&gt;&lt;VISIBLE&gt;1&lt;/VISIBLE&gt;&lt;/SIGOPTION&gt;</v>
      </c>
      <c r="H20" s="36" t="s">
        <v>578</v>
      </c>
      <c r="J20" s="1" t="str">
        <f t="shared" si="1"/>
        <v>&lt;CONDITION&gt;&lt;CLASSNAME/&gt;&lt;CONDITIONNUM&gt;MPMPLAN19&lt;/CONDITIONNUM&gt;&lt;DESCRIPTION&gt;Условия для опции подписи "MPMPLAN19"&lt;/DESCRIPTION&gt;&lt;EXPRESSION&gt;&lt;![CDATA[:namerab1 = '090000070866']]&gt;&lt;/EXPRESSION&gt;&lt;TYPE&gt;ВЫРАЖЕНИЕ&lt;/TYPE&gt;&lt;/CONDITION&gt;</v>
      </c>
      <c r="K20" s="36" t="s">
        <v>578</v>
      </c>
      <c r="L20" t="str">
        <f t="shared" si="2"/>
        <v xml:space="preserve"> &lt;APPLICATIONAUTH&gt;&lt;APP&gt;MASTERPM&lt;/APP&gt;&lt;CONDITIONNUM&gt;MPMPLAN19&lt;/CONDITIONNUM&gt;&lt;GROUPNAME&gt;SL_P&lt;/GROUPNAME&gt;&lt;OPTIONNAME&gt;MPMPLAN19&lt;/OPTIONNAME&gt;&lt;/APPLICATIONAUTH&gt;</v>
      </c>
    </row>
    <row r="21" spans="1:12" ht="15.75">
      <c r="A21" s="30" t="s">
        <v>519</v>
      </c>
      <c r="B21" s="30" t="s">
        <v>505</v>
      </c>
      <c r="C21" s="30" t="s">
        <v>520</v>
      </c>
      <c r="D21" s="30" t="s">
        <v>577</v>
      </c>
      <c r="F21" s="31" t="s">
        <v>562</v>
      </c>
      <c r="G21" t="str">
        <f t="shared" si="0"/>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плана&lt;/DESCRIPTION&gt;&lt;ESIGENABLED&gt;0&lt;/ESIGENABLED&gt;&lt;GROUPNAME/&gt;&lt;OPTIONNAME&gt;MPMPLAN20&lt;/OPTIONNAME&gt;&lt;PREREQUISITE/&gt;&lt;VISIBLE&gt;1&lt;/VISIBLE&gt;&lt;/SIGOPTION&gt;</v>
      </c>
      <c r="H21" s="36" t="s">
        <v>578</v>
      </c>
      <c r="J21" s="1" t="str">
        <f t="shared" si="1"/>
        <v>&lt;CONDITION&gt;&lt;CLASSNAME/&gt;&lt;CONDITIONNUM&gt;MPMPLAN20&lt;/CONDITIONNUM&gt;&lt;DESCRIPTION&gt;Условия для опции подписи "MPMPLAN20"&lt;/DESCRIPTION&gt;&lt;EXPRESSION&gt;&lt;![CDATA[:namerab1 = '090000070867']]&gt;&lt;/EXPRESSION&gt;&lt;TYPE&gt;ВЫРАЖЕНИЕ&lt;/TYPE&gt;&lt;/CONDITION&gt;</v>
      </c>
      <c r="K21" s="36" t="s">
        <v>578</v>
      </c>
      <c r="L21" t="str">
        <f t="shared" si="2"/>
        <v xml:space="preserve"> &lt;APPLICATIONAUTH&gt;&lt;APP&gt;MASTERPM&lt;/APP&gt;&lt;CONDITIONNUM&gt;MPMPLAN20&lt;/CONDITIONNUM&gt;&lt;GROUPNAME&gt;SL_P&lt;/GROUPNAME&gt;&lt;OPTIONNAME&gt;MPMPLAN20&lt;/OPTIONNAME&gt;&lt;/APPLICATIONAUTH&gt;</v>
      </c>
    </row>
    <row r="22" spans="1:12" ht="15.75">
      <c r="A22" s="30" t="s">
        <v>521</v>
      </c>
      <c r="B22" s="30" t="s">
        <v>505</v>
      </c>
      <c r="C22" s="30" t="s">
        <v>522</v>
      </c>
      <c r="D22" s="30" t="s">
        <v>577</v>
      </c>
      <c r="F22" s="31" t="s">
        <v>564</v>
      </c>
      <c r="G22" t="str">
        <f t="shared" si="0"/>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плана&lt;/DESCRIPTION&gt;&lt;ESIGENABLED&gt;0&lt;/ESIGENABLED&gt;&lt;GROUPNAME/&gt;&lt;OPTIONNAME&gt;MPMPLAN21&lt;/OPTIONNAME&gt;&lt;PREREQUISITE/&gt;&lt;VISIBLE&gt;1&lt;/VISIBLE&gt;&lt;/SIGOPTION&gt;</v>
      </c>
      <c r="H22" s="36" t="s">
        <v>578</v>
      </c>
      <c r="J22" s="1" t="str">
        <f t="shared" si="1"/>
        <v>&lt;CONDITION&gt;&lt;CLASSNAME/&gt;&lt;CONDITIONNUM&gt;MPMPLAN21&lt;/CONDITIONNUM&gt;&lt;DESCRIPTION&gt;Условия для опции подписи "MPMPLAN21"&lt;/DESCRIPTION&gt;&lt;EXPRESSION&gt;&lt;![CDATA[:namerab1 = '090000070869']]&gt;&lt;/EXPRESSION&gt;&lt;TYPE&gt;ВЫРАЖЕНИЕ&lt;/TYPE&gt;&lt;/CONDITION&gt;</v>
      </c>
      <c r="K22" s="36" t="s">
        <v>578</v>
      </c>
      <c r="L22" t="str">
        <f t="shared" si="2"/>
        <v xml:space="preserve"> &lt;APPLICATIONAUTH&gt;&lt;APP&gt;MASTERPM&lt;/APP&gt;&lt;CONDITIONNUM&gt;MPMPLAN21&lt;/CONDITIONNUM&gt;&lt;GROUPNAME&gt;SL_P&lt;/GROUPNAME&gt;&lt;OPTIONNAME&gt;MPMPLAN21&lt;/OPTIONNAME&gt;&lt;/APPLICATIONAUTH&gt;</v>
      </c>
    </row>
    <row r="23" spans="1:12" s="78" customFormat="1" ht="15.75">
      <c r="A23" s="77" t="s">
        <v>569</v>
      </c>
      <c r="B23" s="77" t="s">
        <v>505</v>
      </c>
      <c r="C23" s="77" t="s">
        <v>524</v>
      </c>
      <c r="D23" s="77" t="s">
        <v>577</v>
      </c>
      <c r="F23" s="77" t="s">
        <v>567</v>
      </c>
      <c r="G23" s="78" t="str">
        <f>" &lt;SIGOPTION&gt;&lt;ALSOGRANTS/&gt;&lt;ALSOREVOKES/&gt;&lt;APP&gt;MASTERPM&lt;/APP&gt;&lt;AUTHORIZED&gt;0&lt;/AUTHORIZED&gt; &lt;CONDITIONNUM/&gt;&lt;DESCRIPTION&gt;"&amp;D23&amp;"&lt;/DESCRIPTION&gt;&lt;ESIGENABLED&gt;0&lt;/ESIGENABLED&gt;&lt;GROUPNAME/&gt;&lt;OPTIONNAME&gt;"&amp;F23&amp;"&lt;/OPTIONNAME&gt;&lt;PREREQUISITE/&gt;&lt;VISIBLE&gt;1&lt;/VISIBLE&gt;&lt;/SIGOPTION&gt;"</f>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плана&lt;/DESCRIPTION&gt;&lt;ESIGENABLED&gt;0&lt;/ESIGENABLED&gt;&lt;GROUPNAME/&gt;&lt;OPTIONNAME&gt;MPMPLAN22&lt;/OPTIONNAME&gt;&lt;PREREQUISITE/&gt;&lt;VISIBLE&gt;1&lt;/VISIBLE&gt;&lt;/SIGOPTION&gt;</v>
      </c>
      <c r="H23" s="79" t="s">
        <v>578</v>
      </c>
      <c r="J23" s="81" t="str">
        <f>"&lt;CONDITION&gt;&lt;CLASSNAME/&gt;&lt;CONDITIONNUM&gt;"&amp;F23&amp;"&lt;/CONDITIONNUM&gt;&lt;DESCRIPTION&gt;Условия для опции подписи """&amp;F23&amp;"""&lt;/DESCRIPTION&gt;&lt;EXPRESSION&gt;&lt;![CDATA["&amp;C23&amp;"]]&gt;&lt;/EXPRESSION&gt;&lt;TYPE&gt;ВЫРАЖЕНИЕ&lt;/TYPE&gt;&lt;/CONDITION&gt;"</f>
        <v>&lt;CONDITION&gt;&lt;CLASSNAME/&gt;&lt;CONDITIONNUM&gt;MPMPLAN22&lt;/CONDITIONNUM&gt;&lt;DESCRIPTION&gt;Условия для опции подписи "MPMPLAN22"&lt;/DESCRIPTION&gt;&lt;EXPRESSION&gt;&lt;![CDATA[:namerab1 = '090000070376']]&gt;&lt;/EXPRESSION&gt;&lt;TYPE&gt;ВЫРАЖЕНИЕ&lt;/TYPE&gt;&lt;/CONDITION&gt;</v>
      </c>
      <c r="K23" s="79" t="s">
        <v>578</v>
      </c>
      <c r="L23" s="78" t="str">
        <f>" &lt;APPLICATIONAUTH&gt;&lt;APP&gt;MASTERPM&lt;/APP&gt;&lt;CONDITIONNUM&gt;"&amp;F23&amp;"&lt;/CONDITIONNUM&gt;&lt;GROUPNAME&gt;SL_P&lt;/GROUPNAME&gt;&lt;OPTIONNAME&gt;"&amp;F23&amp;"&lt;/OPTIONNAME&gt;&lt;/APPLICATIONAUTH&gt;"</f>
        <v xml:space="preserve"> &lt;APPLICATIONAUTH&gt;&lt;APP&gt;MASTERPM&lt;/APP&gt;&lt;CONDITIONNUM&gt;MPMPLAN22&lt;/CONDITIONNUM&gt;&lt;GROUPNAME&gt;SL_P&lt;/GROUPNAME&gt;&lt;OPTIONNAME&gt;MPMPLAN22&lt;/OPTIONNAME&gt;&lt;/APPLICATIONAUTH&gt;</v>
      </c>
    </row>
    <row r="24" spans="1:12" ht="15.75">
      <c r="A24" s="30" t="s">
        <v>523</v>
      </c>
      <c r="B24" s="30" t="s">
        <v>505</v>
      </c>
      <c r="C24" s="82" t="s">
        <v>595</v>
      </c>
      <c r="D24" s="30" t="s">
        <v>577</v>
      </c>
      <c r="F24" s="31" t="s">
        <v>568</v>
      </c>
      <c r="G24" t="str">
        <f>" &lt;SIGOPTION&gt;&lt;ALSOGRANTS/&gt;&lt;ALSOREVOKES/&gt;&lt;APP&gt;MASTERPM&lt;/APP&gt;&lt;AUTHORIZED&gt;0&lt;/AUTHORIZED&gt; &lt;CONDITIONNUM/&gt;&lt;DESCRIPTION&gt;"&amp;D24&amp;"&lt;/DESCRIPTION&gt;&lt;ESIGENABLED&gt;0&lt;/ESIGENABLED&gt;&lt;GROUPNAME/&gt;&lt;OPTIONNAME&gt;"&amp;F24&amp;"&lt;/OPTIONNAME&gt;&lt;PREREQUISITE/&gt;&lt;VISIBLE&gt;1&lt;/VISIBLE&gt;&lt;/SIGOPTION&gt;"</f>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плана&lt;/DESCRIPTION&gt;&lt;ESIGENABLED&gt;0&lt;/ESIGENABLED&gt;&lt;GROUPNAME/&gt;&lt;OPTIONNAME&gt;MPMPLAN23&lt;/OPTIONNAME&gt;&lt;PREREQUISITE/&gt;&lt;VISIBLE&gt;1&lt;/VISIBLE&gt;&lt;/SIGOPTION&gt;</v>
      </c>
      <c r="H24" s="36" t="s">
        <v>578</v>
      </c>
      <c r="J24" s="1" t="str">
        <f>"&lt;CONDITION&gt;&lt;CLASSNAME/&gt;&lt;CONDITIONNUM&gt;"&amp;F24&amp;"&lt;/CONDITIONNUM&gt;&lt;DESCRIPTION&gt;Условия для опции подписи """&amp;F24&amp;"""&lt;/DESCRIPTION&gt;&lt;EXPRESSION&gt;&lt;![CDATA["&amp;C24&amp;"]]&gt;&lt;/EXPRESSION&gt;&lt;TYPE&gt;ВЫРАЖЕНИЕ&lt;/TYPE&gt;&lt;/CONDITION&gt;"</f>
        <v>&lt;CONDITION&gt;&lt;CLASSNAME/&gt;&lt;CONDITIONNUM&gt;MPMPLAN23&lt;/CONDITIONNUM&gt;&lt;DESCRIPTION&gt;Условия для опции подписи "MPMPLAN23"&lt;/DESCRIPTION&gt;&lt;EXPRESSION&gt;&lt;![CDATA[:namerab1 = '090000087800']]&gt;&lt;/EXPRESSION&gt;&lt;TYPE&gt;ВЫРАЖЕНИЕ&lt;/TYPE&gt;&lt;/CONDITION&gt;</v>
      </c>
      <c r="K24" s="36" t="s">
        <v>578</v>
      </c>
      <c r="L24" t="str">
        <f t="shared" si="2"/>
        <v xml:space="preserve"> &lt;APPLICATIONAUTH&gt;&lt;APP&gt;MASTERPM&lt;/APP&gt;&lt;CONDITIONNUM&gt;MPMPLAN23&lt;/CONDITIONNUM&gt;&lt;GROUPNAME&gt;SL_P&lt;/GROUPNAME&gt;&lt;OPTIONNAME&gt;MPMPLAN23&lt;/OPTIONNAME&gt;&lt;/APPLICATIONAUTH&gt;</v>
      </c>
    </row>
    <row r="25" spans="1:12" s="78" customFormat="1" ht="15.75">
      <c r="A25" s="77" t="s">
        <v>605</v>
      </c>
      <c r="B25" s="77" t="s">
        <v>505</v>
      </c>
      <c r="C25" s="77" t="s">
        <v>604</v>
      </c>
      <c r="D25" s="77" t="s">
        <v>577</v>
      </c>
      <c r="F25" s="77" t="s">
        <v>603</v>
      </c>
      <c r="G25" s="78" t="str">
        <f>" &lt;SIGOPTION&gt;&lt;ALSOGRANTS/&gt;&lt;ALSOREVOKES/&gt;&lt;APP&gt;MASTERPM&lt;/APP&gt;&lt;AUTHORIZED&gt;0&lt;/AUTHORIZED&gt; &lt;CONDITIONNUM/&gt;&lt;DESCRIPTION&gt;"&amp;D25&amp;"&lt;/DESCRIPTION&gt;&lt;ESIGENABLED&gt;0&lt;/ESIGENABLED&gt;&lt;GROUPNAME/&gt;&lt;OPTIONNAME&gt;"&amp;F25&amp;"&lt;/OPTIONNAME&gt;&lt;PREREQUISITE/&gt;&lt;VISIBLE&gt;1&lt;/VISIBLE&gt;&lt;/SIGOPTION&gt;"</f>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плана&lt;/DESCRIPTION&gt;&lt;ESIGENABLED&gt;0&lt;/ESIGENABLED&gt;&lt;GROUPNAME/&gt;&lt;OPTIONNAME&gt;MPMPLAN24&lt;/OPTIONNAME&gt;&lt;PREREQUISITE/&gt;&lt;VISIBLE&gt;1&lt;/VISIBLE&gt;&lt;/SIGOPTION&gt;</v>
      </c>
      <c r="H25" s="79" t="s">
        <v>578</v>
      </c>
      <c r="J25" s="81" t="str">
        <f>"&lt;CONDITION&gt;&lt;CLASSNAME/&gt;&lt;CONDITIONNUM&gt;"&amp;F25&amp;"&lt;/CONDITIONNUM&gt;&lt;DESCRIPTION&gt;Условия для опции подписи """&amp;F25&amp;"""&lt;/DESCRIPTION&gt;&lt;EXPRESSION&gt;&lt;![CDATA["&amp;C25&amp;"]]&gt;&lt;/EXPRESSION&gt;&lt;TYPE&gt;ВЫРАЖЕНИЕ&lt;/TYPE&gt;&lt;/CONDITION&gt;"</f>
        <v>&lt;CONDITION&gt;&lt;CLASSNAME/&gt;&lt;CONDITIONNUM&gt;MPMPLAN24&lt;/CONDITIONNUM&gt;&lt;DESCRIPTION&gt;Условия для опции подписи "MPMPLAN24"&lt;/DESCRIPTION&gt;&lt;EXPRESSION&gt;&lt;![CDATA[:namerab1 = '090000070895']]&gt;&lt;/EXPRESSION&gt;&lt;TYPE&gt;ВЫРАЖЕНИЕ&lt;/TYPE&gt;&lt;/CONDITION&gt;</v>
      </c>
      <c r="K25" s="79" t="s">
        <v>578</v>
      </c>
      <c r="L25" s="78" t="str">
        <f>" &lt;APPLICATIONAUTH&gt;&lt;APP&gt;MASTERPM&lt;/APP&gt;&lt;CONDITIONNUM&gt;"&amp;F25&amp;"&lt;/CONDITIONNUM&gt;&lt;GROUPNAME&gt;SL_P&lt;/GROUPNAME&gt;&lt;OPTIONNAME&gt;"&amp;F25&amp;"&lt;/OPTIONNAME&gt;&lt;/APPLICATIONAUTH&gt;"</f>
        <v xml:space="preserve"> &lt;APPLICATIONAUTH&gt;&lt;APP&gt;MASTERPM&lt;/APP&gt;&lt;CONDITIONNUM&gt;MPMPLAN24&lt;/CONDITIONNUM&gt;&lt;GROUPNAME&gt;SL_P&lt;/GROUPNAME&gt;&lt;OPTIONNAME&gt;MPMPLAN24&lt;/OPTIONNAME&gt;&lt;/APPLICATIONAUTH&gt;</v>
      </c>
    </row>
    <row r="26" spans="1:12" s="78" customFormat="1" ht="15.75">
      <c r="A26" s="77" t="s">
        <v>608</v>
      </c>
      <c r="B26" s="77" t="s">
        <v>505</v>
      </c>
      <c r="C26" s="77" t="s">
        <v>609</v>
      </c>
      <c r="D26" s="77" t="s">
        <v>577</v>
      </c>
      <c r="F26" s="77" t="s">
        <v>610</v>
      </c>
      <c r="G26" s="78" t="str">
        <f>" &lt;SIGOPTION&gt;&lt;ALSOGRANTS/&gt;&lt;ALSOREVOKES/&gt;&lt;APP&gt;MASTERPM&lt;/APP&gt;&lt;AUTHORIZED&gt;0&lt;/AUTHORIZED&gt; &lt;CONDITIONNUM/&gt;&lt;DESCRIPTION&gt;"&amp;D26&amp;"&lt;/DESCRIPTION&gt;&lt;ESIGENABLED&gt;0&lt;/ESIGENABLED&gt;&lt;GROUPNAME/&gt;&lt;OPTIONNAME&gt;"&amp;F26&amp;"&lt;/OPTIONNAME&gt;&lt;PREREQUISITE/&gt;&lt;VISIBLE&gt;1&lt;/VISIBLE&gt;&lt;/SIGOPTION&gt;"</f>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плана&lt;/DESCRIPTION&gt;&lt;ESIGENABLED&gt;0&lt;/ESIGENABLED&gt;&lt;GROUPNAME/&gt;&lt;OPTIONNAME&gt;MPMPLAN25&lt;/OPTIONNAME&gt;&lt;PREREQUISITE/&gt;&lt;VISIBLE&gt;1&lt;/VISIBLE&gt;&lt;/SIGOPTION&gt;</v>
      </c>
      <c r="H26" s="79" t="s">
        <v>578</v>
      </c>
      <c r="J26" s="81" t="str">
        <f>"&lt;CONDITION&gt;&lt;CLASSNAME/&gt;&lt;CONDITIONNUM&gt;"&amp;F26&amp;"&lt;/CONDITIONNUM&gt;&lt;DESCRIPTION&gt;Условия для опции подписи """&amp;F26&amp;"""&lt;/DESCRIPTION&gt;&lt;EXPRESSION&gt;&lt;![CDATA["&amp;C26&amp;"]]&gt;&lt;/EXPRESSION&gt;&lt;TYPE&gt;ВЫРАЖЕНИЕ&lt;/TYPE&gt;&lt;/CONDITION&gt;"</f>
        <v>&lt;CONDITION&gt;&lt;CLASSNAME/&gt;&lt;CONDITIONNUM&gt;MPMPLAN25&lt;/CONDITIONNUM&gt;&lt;DESCRIPTION&gt;Условия для опции подписи "MPMPLAN25"&lt;/DESCRIPTION&gt;&lt;EXPRESSION&gt;&lt;![CDATA[:namerab1 = '090000070907']]&gt;&lt;/EXPRESSION&gt;&lt;TYPE&gt;ВЫРАЖЕНИЕ&lt;/TYPE&gt;&lt;/CONDITION&gt;</v>
      </c>
      <c r="K26" s="79" t="s">
        <v>578</v>
      </c>
      <c r="L26" s="78" t="str">
        <f>" &lt;APPLICATIONAUTH&gt;&lt;APP&gt;MASTERPM&lt;/APP&gt;&lt;CONDITIONNUM&gt;"&amp;F26&amp;"&lt;/CONDITIONNUM&gt;&lt;GROUPNAME&gt;SL_P&lt;/GROUPNAME&gt;&lt;OPTIONNAME&gt;"&amp;F26&amp;"&lt;/OPTIONNAME&gt;&lt;/APPLICATIONAUTH&gt;"</f>
        <v xml:space="preserve"> &lt;APPLICATIONAUTH&gt;&lt;APP&gt;MASTERPM&lt;/APP&gt;&lt;CONDITIONNUM&gt;MPMPLAN25&lt;/CONDITIONNUM&gt;&lt;GROUPNAME&gt;SL_P&lt;/GROUPNAME&gt;&lt;OPTIONNAME&gt;MPMPLAN25&lt;/OPTIONNAME&gt;&lt;/APPLICATIONAUTH&gt;</v>
      </c>
    </row>
    <row r="27" spans="1:12" s="78" customFormat="1" ht="15.75">
      <c r="A27" s="122" t="s">
        <v>663</v>
      </c>
      <c r="B27" s="77" t="s">
        <v>505</v>
      </c>
      <c r="C27" s="77" t="s">
        <v>664</v>
      </c>
      <c r="D27" s="77" t="s">
        <v>577</v>
      </c>
      <c r="F27" s="77" t="s">
        <v>665</v>
      </c>
      <c r="G27" s="78" t="str">
        <f>" &lt;SIGOPTION&gt;&lt;ALSOGRANTS/&gt;&lt;ALSOREVOKES/&gt;&lt;APP&gt;MASTERPM&lt;/APP&gt;&lt;AUTHORIZED&gt;0&lt;/AUTHORIZED&gt; &lt;CONDITIONNUM/&gt;&lt;DESCRIPTION&gt;"&amp;D27&amp;"&lt;/DESCRIPTION&gt;&lt;ESIGENABLED&gt;0&lt;/ESIGENABLED&gt;&lt;GROUPNAME/&gt;&lt;OPTIONNAME&gt;"&amp;F27&amp;"&lt;/OPTIONNAME&gt;&lt;PREREQUISITE/&gt;&lt;VISIBLE&gt;1&lt;/VISIBLE&gt;&lt;/SIGOPTION&gt;"</f>
        <v xml:space="preserve"> &lt;SIGOPTION&gt;&lt;ALSOGRANTS/&gt;&lt;ALSOREVOKES/&gt;&lt;APP&gt;MASTERPM&lt;/APP&gt;&lt;AUTHORIZED&gt;0&lt;/AUTHORIZED&gt; &lt;CONDITIONNUM/&gt;&lt;DESCRIPTION&gt;Опция отображения шапки годового плана&lt;/DESCRIPTION&gt;&lt;ESIGENABLED&gt;0&lt;/ESIGENABLED&gt;&lt;GROUPNAME/&gt;&lt;OPTIONNAME&gt;MPMPLAN26&lt;/OPTIONNAME&gt;&lt;PREREQUISITE/&gt;&lt;VISIBLE&gt;1&lt;/VISIBLE&gt;&lt;/SIGOPTION&gt;</v>
      </c>
      <c r="H27" s="79" t="s">
        <v>578</v>
      </c>
      <c r="J27" s="81" t="str">
        <f>"&lt;CONDITION&gt;&lt;CLASSNAME/&gt;&lt;CONDITIONNUM&gt;"&amp;F27&amp;"&lt;/CONDITIONNUM&gt;&lt;DESCRIPTION&gt;Условия для опции подписи """&amp;F27&amp;"""&lt;/DESCRIPTION&gt;&lt;EXPRESSION&gt;&lt;![CDATA["&amp;C27&amp;"]]&gt;&lt;/EXPRESSION&gt;&lt;TYPE&gt;ВЫРАЖЕНИЕ&lt;/TYPE&gt;&lt;/CONDITION&gt;"</f>
        <v>&lt;CONDITION&gt;&lt;CLASSNAME/&gt;&lt;CONDITIONNUM&gt;MPMPLAN26&lt;/CONDITIONNUM&gt;&lt;DESCRIPTION&gt;Условия для опции подписи "MPMPLAN26"&lt;/DESCRIPTION&gt;&lt;EXPRESSION&gt;&lt;![CDATA[:namerab1 = '090000070837']]&gt;&lt;/EXPRESSION&gt;&lt;TYPE&gt;ВЫРАЖЕНИЕ&lt;/TYPE&gt;&lt;/CONDITION&gt;</v>
      </c>
      <c r="K27" s="79" t="s">
        <v>578</v>
      </c>
      <c r="L27" s="78" t="str">
        <f>" &lt;APPLICATIONAUTH&gt;&lt;APP&gt;MASTERPM&lt;/APP&gt;&lt;CONDITIONNUM&gt;"&amp;F27&amp;"&lt;/CONDITIONNUM&gt;&lt;GROUPNAME&gt;SL_P&lt;/GROUPNAME&gt;&lt;OPTIONNAME&gt;"&amp;F27&amp;"&lt;/OPTIONNAME&gt;&lt;/APPLICATIONAUTH&gt;"</f>
        <v xml:space="preserve"> &lt;APPLICATIONAUTH&gt;&lt;APP&gt;MASTERPM&lt;/APP&gt;&lt;CONDITIONNUM&gt;MPMPLAN26&lt;/CONDITIONNUM&gt;&lt;GROUPNAME&gt;SL_P&lt;/GROUPNAME&gt;&lt;OPTIONNAME&gt;MPMPLAN26&lt;/OPTIONNAME&gt;&lt;/APPLICATIONAUTH&gt;</v>
      </c>
    </row>
    <row r="28" spans="1:12" ht="15.75">
      <c r="B28" s="87" t="s">
        <v>505</v>
      </c>
      <c r="C28" s="88" t="s">
        <v>612</v>
      </c>
      <c r="D28" s="87" t="s">
        <v>565</v>
      </c>
      <c r="F28" s="87" t="s">
        <v>611</v>
      </c>
      <c r="G28" s="89"/>
      <c r="H28" s="90" t="s">
        <v>578</v>
      </c>
      <c r="I28" s="89"/>
      <c r="J28" s="91" t="str">
        <f>"&lt;CONDITION&gt;&lt;CLASSNAME/&gt;&lt;CONDITIONNUM&gt;"&amp;F28&amp;"&lt;/CONDITIONNUM&gt;&lt;DESCRIPTION&gt;"&amp;D28&amp;"&lt;/DESCRIPTION&gt;&lt;EXPRESSION&gt;&lt;![CDATA["&amp;C28&amp;"]]&gt;&lt;/EXPRESSION&gt;&lt;TYPE&gt;ВЫРАЖЕНИЕ&lt;/TYPE&gt;&lt;/CONDITION&gt;"</f>
        <v>&lt;CONDITION&gt;&lt;CLASSNAME/&gt;&lt;CONDITIONNUM&gt;PVOLUMEDESC1&lt;/CONDITIONNUM&gt;&lt;DESCRIPTION&gt;Общий объем работ, км&lt;/DESCRIPTION&gt;&lt;EXPRESSION&gt;&lt;![CDATA[:namerab1 in ('090000070802',	'090000070883',	'090000070884',	'090000070885',	'090000070886',	'090000070889',	'090000070890',	'090000070891',	'090000070874',	'090000070899',	'090000070900',	'090000070901',	'090000070902',	'090000070905',	'090000070906', '090000070907',	'090000070908',	'090000070909',	'090000087800', '090000087807')]]&gt;&lt;/EXPRESSION&gt;&lt;TYPE&gt;ВЫРАЖЕНИЕ&lt;/TYPE&gt;&lt;/CONDITION&gt;</v>
      </c>
      <c r="K28" s="90" t="s">
        <v>578</v>
      </c>
      <c r="L28" s="89" t="str">
        <f t="shared" ref="L28:L34" si="3">" &lt;APPLICATIONAUTH&gt;&lt;APP&gt;MASTERPM&lt;/APP&gt;&lt;CONDITIONNUM&gt;"&amp;F28&amp;"&lt;/CONDITIONNUM&gt;&lt;GROUPNAME&gt;SL_P&lt;/GROUPNAME&gt;&lt;OPTIONNAME&gt;"&amp;F28&amp;"&lt;/OPTIONNAME&gt;&lt;/APPLICATIONAUTH&gt;"</f>
        <v xml:space="preserve"> &lt;APPLICATIONAUTH&gt;&lt;APP&gt;MASTERPM&lt;/APP&gt;&lt;CONDITIONNUM&gt;PVOLUMEDESC1&lt;/CONDITIONNUM&gt;&lt;GROUPNAME&gt;SL_P&lt;/GROUPNAME&gt;&lt;OPTIONNAME&gt;PVOLUMEDESC1&lt;/OPTIONNAME&gt;&lt;/APPLICATIONAUTH&gt;</v>
      </c>
    </row>
    <row r="29" spans="1:12" ht="15.75">
      <c r="B29" s="87" t="s">
        <v>505</v>
      </c>
      <c r="C29" s="88" t="s">
        <v>614</v>
      </c>
      <c r="D29" s="87" t="s">
        <v>615</v>
      </c>
      <c r="F29" s="87" t="s">
        <v>613</v>
      </c>
      <c r="G29" s="89"/>
      <c r="H29" s="90" t="s">
        <v>578</v>
      </c>
      <c r="I29" s="89"/>
      <c r="J29" s="91" t="str">
        <f t="shared" ref="J29:J33" si="4">"&lt;CONDITION&gt;&lt;CLASSNAME/&gt;&lt;CONDITIONNUM&gt;"&amp;F29&amp;"&lt;/CONDITIONNUM&gt;&lt;DESCRIPTION&gt;"&amp;D29&amp;"&lt;/DESCRIPTION&gt;&lt;EXPRESSION&gt;&lt;![CDATA["&amp;C29&amp;"]]&gt;&lt;/EXPRESSION&gt;&lt;TYPE&gt;ВЫРАЖЕНИЕ&lt;/TYPE&gt;&lt;/CONDITION&gt;"</f>
        <v>&lt;CONDITION&gt;&lt;CLASSNAME/&gt;&lt;CONDITIONNUM&gt;PVOLUMEDESC3&lt;/CONDITIONNUM&gt;&lt;DESCRIPTION&gt;Общий объем работ, шт.&lt;/DESCRIPTION&gt;&lt;EXPRESSION&gt;&lt;![CDATA[:namerab1 in ('090000070823',	'090000070837',	'090000074833',	'090000074834',	'090000074825',	'090000070850',	'090000070851',	'090000070852',	'090000070853',	'090000070854',	'090000070855',	'090000070856',	'090000070857',	'090000070858',	'090000070859',	'090000070860',	'090000070861',	'090000070862',	'090000087801',	'090000087802',	'090000087803',	'090000087804',	'090000087805',	'090000087806',	'090000070903',	'090000070904', '090000070907')]]&gt;&lt;/EXPRESSION&gt;&lt;TYPE&gt;ВЫРАЖЕНИЕ&lt;/TYPE&gt;&lt;/CONDITION&gt;</v>
      </c>
      <c r="K29" s="90" t="s">
        <v>578</v>
      </c>
      <c r="L29" s="89" t="str">
        <f t="shared" si="3"/>
        <v xml:space="preserve"> &lt;APPLICATIONAUTH&gt;&lt;APP&gt;MASTERPM&lt;/APP&gt;&lt;CONDITIONNUM&gt;PVOLUMEDESC3&lt;/CONDITIONNUM&gt;&lt;GROUPNAME&gt;SL_P&lt;/GROUPNAME&gt;&lt;OPTIONNAME&gt;PVOLUMEDESC3&lt;/OPTIONNAME&gt;&lt;/APPLICATIONAUTH&gt;</v>
      </c>
    </row>
    <row r="30" spans="1:12" ht="15.75">
      <c r="B30" s="87" t="s">
        <v>505</v>
      </c>
      <c r="C30" s="87" t="s">
        <v>617</v>
      </c>
      <c r="D30" s="87" t="s">
        <v>618</v>
      </c>
      <c r="F30" s="87" t="s">
        <v>616</v>
      </c>
      <c r="G30" s="89"/>
      <c r="H30" s="90" t="s">
        <v>578</v>
      </c>
      <c r="I30" s="89"/>
      <c r="J30" s="91" t="str">
        <f t="shared" si="4"/>
        <v>&lt;CONDITION&gt;&lt;CLASSNAME/&gt;&lt;CONDITIONNUM&gt;PVOLUMEDESC4&lt;/CONDITIONNUM&gt;&lt;DESCRIPTION&gt;Общий объем работ, тыс.шт.&lt;/DESCRIPTION&gt;&lt;EXPRESSION&gt;&lt;![CDATA[:namerab1 in ('090000070833',	'090000070834',	'090000070835',	'090000070868',	'090000070870',	'090000070871')]]&gt;&lt;/EXPRESSION&gt;&lt;TYPE&gt;ВЫРАЖЕНИЕ&lt;/TYPE&gt;&lt;/CONDITION&gt;</v>
      </c>
      <c r="K30" s="90" t="s">
        <v>578</v>
      </c>
      <c r="L30" s="89" t="str">
        <f t="shared" si="3"/>
        <v xml:space="preserve"> &lt;APPLICATIONAUTH&gt;&lt;APP&gt;MASTERPM&lt;/APP&gt;&lt;CONDITIONNUM&gt;PVOLUMEDESC4&lt;/CONDITIONNUM&gt;&lt;GROUPNAME&gt;SL_P&lt;/GROUPNAME&gt;&lt;OPTIONNAME&gt;PVOLUMEDESC4&lt;/OPTIONNAME&gt;&lt;/APPLICATIONAUTH&gt;</v>
      </c>
    </row>
    <row r="31" spans="1:12" ht="15.75">
      <c r="B31" s="87" t="s">
        <v>505</v>
      </c>
      <c r="C31" s="87" t="s">
        <v>620</v>
      </c>
      <c r="D31" s="87" t="s">
        <v>621</v>
      </c>
      <c r="F31" s="87" t="s">
        <v>619</v>
      </c>
      <c r="G31" s="89"/>
      <c r="H31" s="90" t="s">
        <v>578</v>
      </c>
      <c r="I31" s="89"/>
      <c r="J31" s="91" t="str">
        <f t="shared" si="4"/>
        <v>&lt;CONDITION&gt;&lt;CLASSNAME/&gt;&lt;CONDITIONNUM&gt;PVOLUMEDESC5&lt;/CONDITIONNUM&gt;&lt;DESCRIPTION&gt;Общий объем работ, шт. стр. пер.&lt;/DESCRIPTION&gt;&lt;EXPRESSION&gt;&lt;![CDATA[:namerab1 in ('090000070888',	'090000070887',	'090000070848',	'090000070893',	'090000070897', '090000070892')]]&gt;&lt;/EXPRESSION&gt;&lt;TYPE&gt;ВЫРАЖЕНИЕ&lt;/TYPE&gt;&lt;/CONDITION&gt;</v>
      </c>
      <c r="K31" s="90" t="s">
        <v>578</v>
      </c>
      <c r="L31" s="89" t="str">
        <f t="shared" si="3"/>
        <v xml:space="preserve"> &lt;APPLICATIONAUTH&gt;&lt;APP&gt;MASTERPM&lt;/APP&gt;&lt;CONDITIONNUM&gt;PVOLUMEDESC5&lt;/CONDITIONNUM&gt;&lt;GROUPNAME&gt;SL_P&lt;/GROUPNAME&gt;&lt;OPTIONNAME&gt;PVOLUMEDESC5&lt;/OPTIONNAME&gt;&lt;/APPLICATIONAUTH&gt;</v>
      </c>
    </row>
    <row r="32" spans="1:12" ht="15.75">
      <c r="B32" s="87" t="s">
        <v>505</v>
      </c>
      <c r="C32" s="87" t="s">
        <v>623</v>
      </c>
      <c r="D32" s="87" t="s">
        <v>624</v>
      </c>
      <c r="F32" s="87" t="s">
        <v>622</v>
      </c>
      <c r="G32" s="89"/>
      <c r="H32" s="90" t="s">
        <v>578</v>
      </c>
      <c r="I32" s="89"/>
      <c r="J32" s="91" t="str">
        <f t="shared" si="4"/>
        <v>&lt;CONDITION&gt;&lt;CLASSNAME/&gt;&lt;CONDITIONNUM&gt;PVOLUMEDESC6&lt;/CONDITIONNUM&gt;&lt;DESCRIPTION&gt;Общий объем работ, компл.&lt;/DESCRIPTION&gt;&lt;EXPRESSION&gt;&lt;![CDATA[:namerab1 in ('090000070894', '090000070896')]]&gt;&lt;/EXPRESSION&gt;&lt;TYPE&gt;ВЫРАЖЕНИЕ&lt;/TYPE&gt;&lt;/CONDITION&gt;</v>
      </c>
      <c r="K32" s="90" t="s">
        <v>578</v>
      </c>
      <c r="L32" s="89" t="str">
        <f t="shared" si="3"/>
        <v xml:space="preserve"> &lt;APPLICATIONAUTH&gt;&lt;APP&gt;MASTERPM&lt;/APP&gt;&lt;CONDITIONNUM&gt;PVOLUMEDESC6&lt;/CONDITIONNUM&gt;&lt;GROUPNAME&gt;SL_P&lt;/GROUPNAME&gt;&lt;OPTIONNAME&gt;PVOLUMEDESC6&lt;/OPTIONNAME&gt;&lt;/APPLICATIONAUTH&gt;</v>
      </c>
    </row>
    <row r="33" spans="2:12" ht="15.75">
      <c r="B33" s="87" t="s">
        <v>505</v>
      </c>
      <c r="C33" s="87" t="s">
        <v>626</v>
      </c>
      <c r="D33" s="87" t="s">
        <v>627</v>
      </c>
      <c r="F33" s="87" t="s">
        <v>625</v>
      </c>
      <c r="G33" s="89"/>
      <c r="H33" s="90" t="s">
        <v>578</v>
      </c>
      <c r="I33" s="89"/>
      <c r="J33" s="91" t="str">
        <f t="shared" si="4"/>
        <v>&lt;CONDITION&gt;&lt;CLASSNAME/&gt;&lt;CONDITIONNUM&gt;PVOLUMEDESC7&lt;/CONDITIONNUM&gt;&lt;DESCRIPTION&gt;Общий объем работ, км. пути&lt;/DESCRIPTION&gt;&lt;EXPRESSION&gt;&lt;![CDATA[:namerab1 in ('090000070898')]]&gt;&lt;/EXPRESSION&gt;&lt;TYPE&gt;ВЫРАЖЕНИЕ&lt;/TYPE&gt;&lt;/CONDITION&gt;</v>
      </c>
      <c r="K33" s="90" t="s">
        <v>578</v>
      </c>
      <c r="L33" s="89" t="str">
        <f t="shared" si="3"/>
        <v xml:space="preserve"> &lt;APPLICATIONAUTH&gt;&lt;APP&gt;MASTERPM&lt;/APP&gt;&lt;CONDITIONNUM&gt;PVOLUMEDESC7&lt;/CONDITIONNUM&gt;&lt;GROUPNAME&gt;SL_P&lt;/GROUPNAME&gt;&lt;OPTIONNAME&gt;PVOLUMEDESC7&lt;/OPTIONNAME&gt;&lt;/APPLICATIONAUTH&gt;</v>
      </c>
    </row>
    <row r="34" spans="2:12" ht="15.75">
      <c r="B34" s="87" t="s">
        <v>505</v>
      </c>
      <c r="C34" s="88" t="s">
        <v>673</v>
      </c>
      <c r="D34" s="87" t="s">
        <v>629</v>
      </c>
      <c r="F34" s="87" t="s">
        <v>628</v>
      </c>
      <c r="G34" s="89" t="str">
        <f>" &lt;SIGOPTION&gt;&lt;ALSOGRANTS/&gt;&lt;ALSOREVOKES/&gt;&lt;APP&gt;MASTERPM&lt;/APP&gt;&lt;AUTHORIZED&gt;0&lt;/AUTHORIZED&gt; &lt;CONDITIONNUM/&gt;&lt;DESCRIPTION&gt;"&amp;D34&amp;"&lt;/DESCRIPTION&gt;&lt;ESIGENABLED&gt;0&lt;/ESIGENABLED&gt;&lt;GROUPNAME/&gt;&lt;OPTIONNAME&gt;"&amp;F34&amp;"&lt;/OPTIONNAME&gt;&lt;PREREQUISITE/&gt;&lt;VISIBLE&gt;1&lt;/VISIBLE&gt;&lt;/SIGOPTION&gt;"</f>
        <v xml:space="preserve"> &lt;SIGOPTION&gt;&lt;ALSOGRANTS/&gt;&lt;ALSOREVOKES/&gt;&lt;APP&gt;MASTERPM&lt;/APP&gt;&lt;AUTHORIZED&gt;0&lt;/AUTHORIZED&gt; &lt;CONDITIONNUM/&gt;&lt;DESCRIPTION&gt;Общий объем для работ без детализации объема&lt;/DESCRIPTION&gt;&lt;ESIGENABLED&gt;0&lt;/ESIGENABLED&gt;&lt;GROUPNAME/&gt;&lt;OPTIONNAME&gt;MPMPLAN&lt;/OPTIONNAME&gt;&lt;PREREQUISITE/&gt;&lt;VISIBLE&gt;1&lt;/VISIBLE&gt;&lt;/SIGOPTION&gt;</v>
      </c>
      <c r="H34" s="90" t="s">
        <v>578</v>
      </c>
      <c r="I34" s="89" t="s">
        <v>578</v>
      </c>
      <c r="J34" s="91" t="str">
        <f>"&lt;CONDITION&gt;&lt;CLASSNAME/&gt;&lt;CONDITIONNUM&gt;"&amp;F34&amp;"&lt;/CONDITIONNUM&gt;&lt;DESCRIPTION&gt;"&amp;D34&amp;"&lt;/DESCRIPTION&gt;&lt;EXPRESSION&gt;&lt;![CDATA["&amp;C34&amp;"]]&gt;&lt;/EXPRESSION&gt;&lt;TYPE&gt;ВЫРАЖЕНИЕ&lt;/TYPE&gt;&lt;/CONDITION&gt;"</f>
        <v>&lt;CONDITION&gt;&lt;CLASSNAME/&gt;&lt;CONDITIONNUM&gt;MPMPLAN&lt;/CONDITIONNUM&gt;&lt;DESCRIPTION&gt;Общий объем для работ без детализации объема&lt;/DESCRIPTION&gt;&lt;EXPRESSION&gt;&lt;![CDATA[:namerab1 in ('090000070802', '090000070883', '090000070884', '090000070885', '090000070886', '090000070889', '090000070890', '090000070891', '090000070874', '090000070899', '090000070900', '090000070901', '090000070902', '090000070903', '090000070904', '090000070905', '090000070906', '090000070908', '090000070909', '090000087800', '090000070823', '090000074833', '090000074834', '090000074825', '090000070850', '090000070851', '090000070852', '090000070853', '090000070854', '090000070855', '090000070856', '090000070857', '090000070858', '090000070859', '090000070860', '090000070861', '090000070862', '090000087801', '090000087802', '090000087803', '090000087804', '090000087805', '090000087806', '090000070824', '090000070833', '090000070834', '090000070835', '090000070868', '090000070870', '090000070871', '090000070888', '090000070887', '090000070848', '090000070893', '090000070894', '090000070896', '090000070897', '090000070898', '090000087807', '090000070892')]]&gt;&lt;/EXPRESSION&gt;&lt;TYPE&gt;ВЫРАЖЕНИЕ&lt;/TYPE&gt;&lt;/CONDITION&gt;</v>
      </c>
      <c r="K34" s="90" t="s">
        <v>578</v>
      </c>
      <c r="L34" s="89" t="str">
        <f t="shared" si="3"/>
        <v xml:space="preserve"> &lt;APPLICATIONAUTH&gt;&lt;APP&gt;MASTERPM&lt;/APP&gt;&lt;CONDITIONNUM&gt;MPMPLAN&lt;/CONDITIONNUM&gt;&lt;GROUPNAME&gt;SL_P&lt;/GROUPNAME&gt;&lt;OPTIONNAME&gt;MPMPLAN&lt;/OPTIONNAME&gt;&lt;/APPLICATIONAUTH&gt;</v>
      </c>
    </row>
    <row r="35" spans="2:12" ht="15.75">
      <c r="B35" s="87" t="s">
        <v>505</v>
      </c>
      <c r="D35" t="s">
        <v>631</v>
      </c>
      <c r="F35" t="s">
        <v>630</v>
      </c>
      <c r="G35" s="89" t="str">
        <f>" &lt;SIGOPTION&gt;&lt;ALSOGRANTS/&gt;&lt;ALSOREVOKES/&gt;&lt;APP&gt;MASTERPM&lt;/APP&gt;&lt;AUTHORIZED&gt;0&lt;/AUTHORIZED&gt; &lt;CONDITIONNUM/&gt;&lt;DESCRIPTION&gt;"&amp;D35&amp;"&lt;/DESCRIPTION&gt;&lt;ESIGENABLED&gt;0&lt;/ESIGENABLED&gt;&lt;GROUPNAME/&gt;&lt;OPTIONNAME&gt;"&amp;F35&amp;"&lt;/OPTIONNAME&gt;&lt;PREREQUISITE/&gt;&lt;VISIBLE&gt;1&lt;/VISIBLE&gt;&lt;/SIGOPTION&gt;"</f>
        <v xml:space="preserve"> &lt;SIGOPTION&gt;&lt;ALSOGRANTS/&gt;&lt;ALSOREVOKES/&gt;&lt;APP&gt;MASTERPM&lt;/APP&gt;&lt;AUTHORIZED&gt;0&lt;/AUTHORIZED&gt; &lt;CONDITIONNUM/&gt;&lt;DESCRIPTION&gt;Описание общего объема&lt;/DESCRIPTION&gt;&lt;ESIGENABLED&gt;0&lt;/ESIGENABLED&gt;&lt;GROUPNAME/&gt;&lt;OPTIONNAME&gt;PVALUMEDESC&lt;/OPTIONNAME&gt;&lt;PREREQUISITE/&gt;&lt;VISIBLE&gt;1&lt;/VISIBLE&gt;&lt;/SIGOPTION&gt;</v>
      </c>
      <c r="H35" s="90" t="s">
        <v>578</v>
      </c>
      <c r="J35" s="91"/>
      <c r="K35" s="90" t="s">
        <v>578</v>
      </c>
      <c r="L35" s="89" t="str">
        <f>" &lt;APPLICATIONAUTH&gt;&lt;APP&gt;MASTERPM&lt;/APP&gt;&lt;CONDITIONNUM&gt;"&amp;F35&amp;"&lt;/CONDITIONNUM&gt;&lt;GROUPNAME&gt;SL_P&lt;/GROUPNAME&gt;&lt;OPTIONNAME&gt;"&amp;F35&amp;"&lt;/OPTIONNAME&gt;&lt;/APPLICATIONAUTH&gt;"</f>
        <v xml:space="preserve"> &lt;APPLICATIONAUTH&gt;&lt;APP&gt;MASTERPM&lt;/APP&gt;&lt;CONDITIONNUM&gt;PVALUMEDESC&lt;/CONDITIONNUM&gt;&lt;GROUPNAME&gt;SL_P&lt;/GROUPNAME&gt;&lt;OPTIONNAME&gt;PVALUMEDESC&lt;/OPTIONNAME&gt;&lt;/APPLICATIONAUTH&gt;</v>
      </c>
    </row>
    <row r="44" spans="2:12">
      <c r="C44" t="s">
        <v>666</v>
      </c>
    </row>
    <row r="45" spans="2:12">
      <c r="C45" t="s">
        <v>667</v>
      </c>
    </row>
    <row r="46" spans="2:12">
      <c r="C46" t="s">
        <v>668</v>
      </c>
    </row>
    <row r="47" spans="2:12">
      <c r="C47" t="s">
        <v>669</v>
      </c>
    </row>
    <row r="48" spans="2:12">
      <c r="C48" t="s">
        <v>670</v>
      </c>
    </row>
    <row r="49" spans="3:3">
      <c r="C49" t="s">
        <v>671</v>
      </c>
    </row>
    <row r="50" spans="3:3">
      <c r="C50" t="s">
        <v>672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F59"/>
  <sheetViews>
    <sheetView workbookViewId="0">
      <selection activeCell="A17" sqref="A17"/>
    </sheetView>
  </sheetViews>
  <sheetFormatPr defaultRowHeight="15"/>
  <cols>
    <col min="1" max="1" width="32.5703125" customWidth="1"/>
  </cols>
  <sheetData>
    <row r="1" spans="1:6" ht="72" thickBot="1">
      <c r="A1" s="99" t="s">
        <v>634</v>
      </c>
    </row>
    <row r="5" spans="1:6" ht="15.75" thickBot="1"/>
    <row r="6" spans="1:6">
      <c r="F6" s="43"/>
    </row>
    <row r="7" spans="1:6">
      <c r="F7" s="42"/>
    </row>
    <row r="8" spans="1:6">
      <c r="F8" s="42"/>
    </row>
    <row r="9" spans="1:6">
      <c r="F9" s="42"/>
    </row>
    <row r="10" spans="1:6">
      <c r="F10" s="93"/>
    </row>
    <row r="11" spans="1:6">
      <c r="F11" s="42"/>
    </row>
    <row r="12" spans="1:6">
      <c r="F12" s="42"/>
    </row>
    <row r="13" spans="1:6">
      <c r="F13" s="23"/>
    </row>
    <row r="14" spans="1:6">
      <c r="F14" s="23"/>
    </row>
    <row r="15" spans="1:6">
      <c r="F15" s="93"/>
    </row>
    <row r="16" spans="1:6">
      <c r="F16" s="23"/>
    </row>
    <row r="17" spans="6:6">
      <c r="F17" s="23"/>
    </row>
    <row r="18" spans="6:6">
      <c r="F18" s="42"/>
    </row>
    <row r="19" spans="6:6">
      <c r="F19" s="23"/>
    </row>
    <row r="20" spans="6:6">
      <c r="F20" s="42"/>
    </row>
    <row r="21" spans="6:6">
      <c r="F21" s="42"/>
    </row>
    <row r="22" spans="6:6">
      <c r="F22" s="93"/>
    </row>
    <row r="23" spans="6:6">
      <c r="F23" s="93"/>
    </row>
    <row r="24" spans="6:6">
      <c r="F24" s="93"/>
    </row>
    <row r="25" spans="6:6">
      <c r="F25" s="23"/>
    </row>
    <row r="26" spans="6:6">
      <c r="F26" s="93"/>
    </row>
    <row r="27" spans="6:6">
      <c r="F27" s="87"/>
    </row>
    <row r="28" spans="6:6">
      <c r="F28" s="23"/>
    </row>
    <row r="29" spans="6:6" ht="15.75" thickBot="1">
      <c r="F29" s="64"/>
    </row>
    <row r="30" spans="6:6">
      <c r="F30" s="92"/>
    </row>
    <row r="31" spans="6:6">
      <c r="F31" s="27"/>
    </row>
    <row r="32" spans="6:6">
      <c r="F32" s="27"/>
    </row>
    <row r="33" spans="6:6">
      <c r="F33" s="27"/>
    </row>
    <row r="34" spans="6:6" ht="15.75" thickBot="1">
      <c r="F34" s="97"/>
    </row>
    <row r="35" spans="6:6">
      <c r="F35" s="92"/>
    </row>
    <row r="36" spans="6:6">
      <c r="F36" s="27"/>
    </row>
    <row r="37" spans="6:6">
      <c r="F37" s="41"/>
    </row>
    <row r="38" spans="6:6">
      <c r="F38" s="27"/>
    </row>
    <row r="39" spans="6:6">
      <c r="F39" s="41"/>
    </row>
    <row r="40" spans="6:6">
      <c r="F40" s="27"/>
    </row>
    <row r="41" spans="6:6">
      <c r="F41" s="27"/>
    </row>
    <row r="42" spans="6:6">
      <c r="F42" s="27"/>
    </row>
    <row r="43" spans="6:6">
      <c r="F43" s="27"/>
    </row>
    <row r="44" spans="6:6" ht="15.75" thickBot="1">
      <c r="F44" s="97"/>
    </row>
    <row r="45" spans="6:6" ht="15.75" thickBot="1">
      <c r="F45" s="98"/>
    </row>
    <row r="46" spans="6:6">
      <c r="F46" s="96"/>
    </row>
    <row r="47" spans="6:6">
      <c r="F47" s="95"/>
    </row>
    <row r="48" spans="6:6">
      <c r="F48" s="96"/>
    </row>
    <row r="49" spans="6:6">
      <c r="F49" s="96"/>
    </row>
    <row r="50" spans="6:6">
      <c r="F50" s="96"/>
    </row>
    <row r="51" spans="6:6">
      <c r="F51" s="96"/>
    </row>
    <row r="52" spans="6:6">
      <c r="F52" s="23"/>
    </row>
    <row r="53" spans="6:6">
      <c r="F53" s="23"/>
    </row>
    <row r="54" spans="6:6" ht="15.75" thickBot="1">
      <c r="F54" s="23"/>
    </row>
    <row r="55" spans="6:6" ht="15.75" thickBot="1">
      <c r="F55" s="94"/>
    </row>
    <row r="56" spans="6:6">
      <c r="F56" s="94"/>
    </row>
    <row r="57" spans="6:6">
      <c r="F57" s="23"/>
    </row>
    <row r="58" spans="6:6">
      <c r="F58" s="23"/>
    </row>
    <row r="59" spans="6:6">
      <c r="F59" s="2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объемы</vt:lpstr>
      <vt:lpstr>опции</vt:lpstr>
      <vt:lpstr>доп.опции</vt:lpstr>
      <vt:lpstr>Лист1</vt:lpstr>
    </vt:vector>
  </TitlesOfParts>
  <Company>ОЦРВ</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Valeriya.Tulyakova</dc:creator>
  <cp:lastModifiedBy>Valeriya.Tulyakova</cp:lastModifiedBy>
  <dcterms:created xsi:type="dcterms:W3CDTF">2013-02-01T08:32:47Z</dcterms:created>
  <dcterms:modified xsi:type="dcterms:W3CDTF">2013-04-23T11:04:59Z</dcterms:modified>
</cp:coreProperties>
</file>